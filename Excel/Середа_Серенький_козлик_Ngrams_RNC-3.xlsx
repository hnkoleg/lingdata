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ренький козлик" sheetId="1" r:id="rId4"/>
    <sheet state="visible" name="Sheet3" sheetId="2" r:id="rId5"/>
    <sheet state="visible" name="Pivot Table 1" sheetId="3" r:id="rId6"/>
    <sheet state="visible" name="Серый козел" sheetId="4" r:id="rId7"/>
    <sheet state="visible" name="сводная таблица для задания 1.1" sheetId="5" r:id="rId8"/>
    <sheet state="visible" name="1.1 (сводная таблица для задани" sheetId="6" r:id="rId9"/>
    <sheet state="visible" name="сводная таблица для задания 1.3" sheetId="7" r:id="rId10"/>
    <sheet state="visible" name="сводная таблица для задания 2.2" sheetId="8" r:id="rId11"/>
  </sheets>
  <definedNames/>
  <calcPr/>
  <pivotCaches>
    <pivotCache cacheId="0" r:id="rId12"/>
    <pivotCache cacheId="1" r:id="rId13"/>
    <pivotCache cacheId="2" r:id="rId14"/>
    <pivotCache cacheId="3" r:id="rId15"/>
  </pivotCaches>
</workbook>
</file>

<file path=xl/sharedStrings.xml><?xml version="1.0" encoding="utf-8"?>
<sst xmlns="http://schemas.openxmlformats.org/spreadsheetml/2006/main" count="971" uniqueCount="354">
  <si>
    <t>DOCUMENTS</t>
  </si>
  <si>
    <t>OCCURRENCES</t>
  </si>
  <si>
    <t>NGRAM</t>
  </si>
  <si>
    <t>NGRAM_LEMMA</t>
  </si>
  <si>
    <t>LEMMA1</t>
  </si>
  <si>
    <t>LEMMA2</t>
  </si>
  <si>
    <t>SUFFIX</t>
  </si>
  <si>
    <t xml:space="preserve"> </t>
  </si>
  <si>
    <t>аленький цветочек</t>
  </si>
  <si>
    <t>аленький</t>
  </si>
  <si>
    <t>цветочек</t>
  </si>
  <si>
    <t>седенький старичок</t>
  </si>
  <si>
    <t>седенький</t>
  </si>
  <si>
    <t>старичок</t>
  </si>
  <si>
    <t>серенький козлик</t>
  </si>
  <si>
    <t>серенький</t>
  </si>
  <si>
    <t>козлик</t>
  </si>
  <si>
    <t>черненькие глазки</t>
  </si>
  <si>
    <t>черненький глазок</t>
  </si>
  <si>
    <t>черненький</t>
  </si>
  <si>
    <t>глазок</t>
  </si>
  <si>
    <t>серенький домик</t>
  </si>
  <si>
    <t>домик</t>
  </si>
  <si>
    <t>седенькой бородкой</t>
  </si>
  <si>
    <t>седенький бородка</t>
  </si>
  <si>
    <t>бородка</t>
  </si>
  <si>
    <t>беленький цветочек</t>
  </si>
  <si>
    <t>беленький</t>
  </si>
  <si>
    <t>голубенькие глазки</t>
  </si>
  <si>
    <t>голубенький глазок</t>
  </si>
  <si>
    <t>голубенький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</si>
  <si>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</si>
  <si>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</si>
  <si>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</si>
  <si>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</si>
  <si>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</si>
  <si>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старушка</t>
  </si>
  <si>
    <t>черненькими усиками</t>
  </si>
  <si>
    <t>черненький усик</t>
  </si>
  <si>
    <t>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</si>
  <si>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</si>
  <si>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</si>
  <si>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</si>
  <si>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</si>
  <si>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</si>
  <si>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ручка</t>
  </si>
  <si>
    <t>беленький платочек</t>
  </si>
  <si>
    <t>платочек</t>
  </si>
  <si>
    <t>зелененькую бумажку</t>
  </si>
  <si>
    <t>зелененький бумажка</t>
  </si>
  <si>
    <t>зелененький</t>
  </si>
  <si>
    <t>бумажка</t>
  </si>
  <si>
    <t>красненькую бумажку</t>
  </si>
  <si>
    <t>красненький бумажка</t>
  </si>
  <si>
    <t>красненький</t>
  </si>
  <si>
    <t>синенькую бумажку</t>
  </si>
  <si>
    <t>синенький бумажка</t>
  </si>
  <si>
    <t>синенький</t>
  </si>
  <si>
    <t>темненькая фигурка</t>
  </si>
  <si>
    <t>темненький фигурка</t>
  </si>
  <si>
    <t>темненький</t>
  </si>
  <si>
    <t>фигурка</t>
  </si>
  <si>
    <t>беленький крестик</t>
  </si>
  <si>
    <t>крестик</t>
  </si>
  <si>
    <t>рыженький человечек</t>
  </si>
  <si>
    <t>рыженький</t>
  </si>
  <si>
    <t>человечек</t>
  </si>
  <si>
    <t>серенькая птичка</t>
  </si>
  <si>
    <t>серенький птичка</t>
  </si>
  <si>
    <t>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</si>
  <si>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</si>
  <si>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</si>
  <si>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</si>
  <si>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</si>
  <si>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</si>
  <si>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</si>
  <si>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</si>
  <si>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</si>
  <si>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</si>
  <si>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пиджачок</t>
  </si>
  <si>
    <t>беленькие цветочки</t>
  </si>
  <si>
    <t>беленькое личико</t>
  </si>
  <si>
    <t>беленький личико</t>
  </si>
  <si>
    <t>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</si>
  <si>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</si>
  <si>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</si>
  <si>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</si>
  <si>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</si>
  <si>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</si>
  <si>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</si>
  <si>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</si>
  <si>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</si>
  <si>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</si>
  <si>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</si>
  <si>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</si>
  <si>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</si>
  <si>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</si>
  <si>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</si>
  <si>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желтенький</t>
  </si>
  <si>
    <t>красненький домик</t>
  </si>
  <si>
    <t>седенькая бородка</t>
  </si>
  <si>
    <t>серенькая мышка</t>
  </si>
  <si>
    <t>серенький мышка</t>
  </si>
  <si>
    <t>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</si>
  <si>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</si>
  <si>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</si>
  <si>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</si>
  <si>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</si>
  <si>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</si>
  <si>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</si>
  <si>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</si>
  <si>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хатка</t>
  </si>
  <si>
    <t>беленький зайчик</t>
  </si>
  <si>
    <t>зайчик</t>
  </si>
  <si>
    <t>беленькими цветочками</t>
  </si>
  <si>
    <t>беленькой кофточке</t>
  </si>
  <si>
    <t>беленький кофточка</t>
  </si>
  <si>
    <t>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</si>
  <si>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</si>
  <si>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</si>
  <si>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</si>
  <si>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</si>
  <si>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</si>
  <si>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</si>
  <si>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огонек</t>
  </si>
  <si>
    <t>желтенький томик</t>
  </si>
  <si>
    <t>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</si>
  <si>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</si>
  <si>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</si>
  <si>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</si>
  <si>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</si>
  <si>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</si>
  <si>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</si>
  <si>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</si>
  <si>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</si>
  <si>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</si>
  <si>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</si>
  <si>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</si>
  <si>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</si>
  <si>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</si>
  <si>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</si>
  <si>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</si>
  <si>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</si>
  <si>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</si>
  <si>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</si>
  <si>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</si>
  <si>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</si>
  <si>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</si>
  <si>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</si>
  <si>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</si>
  <si>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</si>
  <si>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</si>
  <si>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</si>
  <si>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</si>
  <si>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</si>
  <si>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травка</t>
  </si>
  <si>
    <t>красненький платочек</t>
  </si>
  <si>
    <t>красненьким носиком</t>
  </si>
  <si>
    <t>красненький носик</t>
  </si>
  <si>
    <t>носик</t>
  </si>
  <si>
    <t>красненькую книжечку</t>
  </si>
  <si>
    <t>красненький книжечка</t>
  </si>
  <si>
    <t>книжечка</t>
  </si>
  <si>
    <t>пестренькие птички</t>
  </si>
  <si>
    <t>пестренький птичка</t>
  </si>
  <si>
    <t>пестренький</t>
  </si>
  <si>
    <t>розовенькое платьице</t>
  </si>
  <si>
    <t>розовенький платьице</t>
  </si>
  <si>
    <t>розовенький</t>
  </si>
  <si>
    <t>рыженькая собачка</t>
  </si>
  <si>
    <t>рыженький собачка</t>
  </si>
  <si>
    <t>светленькие глазки</t>
  </si>
  <si>
    <t>светленький глазок</t>
  </si>
  <si>
    <t>светленький</t>
  </si>
  <si>
    <t>седенькие волосики</t>
  </si>
  <si>
    <t>седенький волосик</t>
  </si>
  <si>
    <t>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</si>
  <si>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</si>
  <si>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</si>
  <si>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</si>
  <si>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</si>
  <si>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</si>
  <si>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</si>
  <si>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</si>
  <si>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</si>
  <si>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</si>
  <si>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жилка</t>
  </si>
  <si>
    <t>синенький дымок</t>
  </si>
  <si>
    <t>дымок</t>
  </si>
  <si>
    <t>синенькую тетрадку</t>
  </si>
  <si>
    <t>синенький тетрадка</t>
  </si>
  <si>
    <t>тетрадка</t>
  </si>
  <si>
    <t>черненького хлебца</t>
  </si>
  <si>
    <t>черненький хлебец</t>
  </si>
  <si>
    <t>хлебец</t>
  </si>
  <si>
    <t>ек</t>
  </si>
  <si>
    <t xml:space="preserve"> Total</t>
  </si>
  <si>
    <t>ек Total</t>
  </si>
  <si>
    <t>ец</t>
  </si>
  <si>
    <t>ец Total</t>
  </si>
  <si>
    <t>ик</t>
  </si>
  <si>
    <t>ик Total</t>
  </si>
  <si>
    <t>ка</t>
  </si>
  <si>
    <t>ка Total</t>
  </si>
  <si>
    <t>ко</t>
  </si>
  <si>
    <t>ко Total</t>
  </si>
  <si>
    <t>ок</t>
  </si>
  <si>
    <t>ок Total</t>
  </si>
  <si>
    <t>це</t>
  </si>
  <si>
    <t>це Total</t>
  </si>
  <si>
    <t>Grand Total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</si>
  <si>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</si>
  <si>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</si>
  <si>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</si>
  <si>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</si>
  <si>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</si>
  <si>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</si>
  <si>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</si>
  <si>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</si>
  <si>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</si>
  <si>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</si>
  <si>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</si>
  <si>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</si>
  <si>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</si>
  <si>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</si>
  <si>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</si>
  <si>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</si>
  <si>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</si>
  <si>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</si>
  <si>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</si>
  <si>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</si>
  <si>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</si>
  <si>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</si>
  <si>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</si>
  <si>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</si>
  <si>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</si>
  <si>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</si>
  <si>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</si>
  <si>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</si>
  <si>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</si>
  <si>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</si>
  <si>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</si>
  <si>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</si>
  <si>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</si>
  <si>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</si>
  <si>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</si>
  <si>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</si>
  <si>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</si>
  <si>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</si>
  <si>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</si>
  <si>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</si>
  <si>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</si>
  <si>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</si>
  <si>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</si>
  <si>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</si>
  <si>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</si>
  <si>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</si>
  <si>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</si>
  <si>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</si>
  <si>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</si>
  <si>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</si>
  <si>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</si>
  <si>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</si>
  <si>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</si>
  <si>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</si>
  <si>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</si>
  <si>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</si>
  <si>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</si>
  <si>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</si>
  <si>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</si>
  <si>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</si>
  <si>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</si>
  <si>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</si>
  <si>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</si>
  <si>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</si>
  <si>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</si>
  <si>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</si>
  <si>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</si>
  <si>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</si>
  <si>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</si>
  <si>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</si>
  <si>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</si>
  <si>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</si>
  <si>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</si>
  <si>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</si>
  <si>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</si>
  <si>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</si>
  <si>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</si>
  <si>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</si>
  <si>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</si>
  <si>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</si>
  <si>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</si>
  <si>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</si>
  <si>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</si>
  <si>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</si>
  <si>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</si>
  <si>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</si>
  <si>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</si>
  <si>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</si>
  <si>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</si>
  <si>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</si>
  <si>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</si>
  <si>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</si>
  <si>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</si>
  <si>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</si>
  <si>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</si>
  <si>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</si>
  <si>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</si>
  <si>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</si>
  <si>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</si>
  <si>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</si>
  <si>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</si>
  <si>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</si>
  <si>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</si>
  <si>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</si>
  <si>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</si>
  <si>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</si>
  <si>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</si>
  <si>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</si>
  <si>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</si>
  <si>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</si>
  <si>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</si>
  <si>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</si>
  <si>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</si>
  <si>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</si>
  <si>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</si>
  <si>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</si>
  <si>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</si>
  <si>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</si>
  <si>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</si>
  <si>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</si>
  <si>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</si>
  <si>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</si>
  <si>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</si>
  <si>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</si>
  <si>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</si>
  <si>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</si>
  <si>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</si>
  <si>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</si>
  <si>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</si>
  <si>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</si>
  <si>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</si>
  <si>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</si>
  <si>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</si>
  <si>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SUM of OCCURRENCES</t>
  </si>
  <si>
    <t>COUNTA of SUFFIX</t>
  </si>
  <si>
    <t>ице</t>
  </si>
  <si>
    <t>ице Total</t>
  </si>
  <si>
    <t>очка</t>
  </si>
  <si>
    <t>очка Total</t>
  </si>
  <si>
    <t>ико</t>
  </si>
  <si>
    <t>ико Total</t>
  </si>
  <si>
    <t>ечка</t>
  </si>
  <si>
    <t>ечка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</si>
</sst>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1000" sheet="Sheet3"/>
  </cacheSource>
  <cacheFields>
    <cacheField name="цветочек" numFmtId="0">
      <sharedItems containsBlank="1">
        <s v="цветочек"/>
        <s v="платочек"/>
        <s v="человечек"/>
        <s v="огонек"/>
        <s v="хлебец"/>
        <s v="козлик"/>
        <s v="домик"/>
        <s v="усик"/>
        <s v="крестик"/>
        <s v="зайчик"/>
        <s v="томик"/>
        <s v="носик"/>
        <s v="волосик"/>
        <s v="бородка"/>
        <s v="старушка"/>
        <s v="ручка"/>
        <s v="бумажка"/>
        <s v="фигурка"/>
        <s v="птичка"/>
        <s v="собачка"/>
        <s v="мышка"/>
        <s v="хатка"/>
        <s v="кофточка"/>
        <s v="книжка"/>
        <s v="головка"/>
        <s v="травка"/>
        <s v="книжечка"/>
        <s v="жилка"/>
        <s v="тетрадка"/>
        <s v="личико"/>
        <s v="старичок"/>
        <s v="глазок"/>
        <s v="пиджачок"/>
        <s v="городок"/>
        <s v="дымок"/>
        <s v="платьице"/>
        <m/>
      </sharedItems>
    </cacheField>
    <cacheField name="ек" numFmtId="0">
      <sharedItems containsBlank="1">
        <s v="ек"/>
        <s v="ец"/>
        <s v="ик"/>
        <s v="ка"/>
        <s v="ко"/>
        <s v="ок"/>
        <s v="це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E1000" sheet="Серенький козлик"/>
  </cacheSource>
  <cacheFields>
    <cacheField name="LEMMA1" numFmtId="0">
      <sharedItems containsBlank="1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1000" sheet="Серенький козлик"/>
  </cacheSource>
  <cacheFields>
    <cacheField name="DOCUMENTS" numFmtId="0">
      <sharedItems containsString="0" containsBlank="1" containsNumber="1" containsInteger="1">
        <n v="52.0"/>
        <n v="62.0"/>
        <n v="21.0"/>
        <n v="14.0"/>
        <n v="19.0"/>
        <n v="18.0"/>
        <n v="3.0"/>
        <n v="12.0"/>
        <n v="11.0"/>
        <n v="10.0"/>
        <n v="9.0"/>
        <n v="2.0"/>
        <n v="7.0"/>
        <n v="6.0"/>
        <n v="8.0"/>
        <n v="1.0"/>
        <n v="4.0"/>
        <n v="5.0"/>
        <m/>
      </sharedItems>
    </cacheField>
    <cacheField name="OCCURRENCES" numFmtId="0">
      <sharedItems containsString="0" containsBlank="1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m/>
      </sharedItems>
    </cacheField>
    <cacheField name="NGRAM" numFmtId="0">
      <sharedItems containsBlank="1">
        <s v="аленький цветочек"/>
        <s v="седенький старичок"/>
        <s v="серенький козлик"/>
        <s v="черненькие глазки"/>
        <s v="серенький домик"/>
        <s v="седенькой бородкой"/>
        <s v="беленький цветочек"/>
        <s v="голубенькие глазки"/>
        <s v="беленький домик"/>
        <s v="аленького цветочка"/>
        <s v="седенького старичка"/>
        <s v="седенькая старушка"/>
        <s v="черненькими усиками"/>
        <s v="серенькие глазки"/>
        <s v="беленькие домики"/>
        <s v="беленькая ручка"/>
        <s v="беленький платочек"/>
        <s v="зелененькую бумажку"/>
        <s v="красненькую бумажку"/>
        <s v="синенькую бумажку"/>
        <s v="темненькая фигурка"/>
        <s v="беленький крестик"/>
        <s v="рыженький человечек"/>
        <s v="серенькая птичка"/>
        <s v="черненький человечек"/>
        <s v="беленький старичок"/>
        <s v="беленьком платьице"/>
        <s v="голубенькими глазками"/>
        <s v="сереньком домике"/>
        <s v="сереньком пиджачке"/>
        <s v="беленькие цветочки"/>
        <s v="беленькое личико"/>
        <s v="беленькое платьице"/>
        <s v="рыженькой бородкой"/>
        <s v="седенькую бородку"/>
        <s v="сереньком платьице"/>
        <s v="беленькая собачка"/>
        <s v="беленьким платочком"/>
        <s v="беленьком платочке"/>
        <s v="беленькую ручку"/>
        <s v="желтенькие цветочки"/>
        <s v="красненький домик"/>
        <s v="седенькая бородка"/>
        <s v="серенькая мышка"/>
        <s v="серенький пиджачок"/>
        <s v="серенького домика"/>
        <s v="синенькими глазками"/>
        <s v="черненькими глазками"/>
        <s v="беленькие ручки"/>
        <s v="беленькие хатки"/>
        <s v="беленький зайчик"/>
        <s v="беленькими цветочками"/>
        <s v="беленькой кофточке"/>
        <s v="голубенький платочек"/>
        <s v="голубенькими цветочками"/>
        <s v="желтенькие бумажки"/>
        <s v="желтенький огонек"/>
        <s v="желтенький томик"/>
        <s v="желтенький цветочек"/>
        <s v="желтенькую бумажку"/>
        <s v="красненьком домике"/>
        <s v="седенький человечек"/>
        <s v="серенькими глазками"/>
        <s v="серенькому домику"/>
        <s v="серенькую книжку"/>
        <s v="синенький огонек"/>
        <s v="черненькой бородкой"/>
        <s v="черненькую головку"/>
        <s v="аленьким цветочком"/>
        <s v="аленьком цветочке"/>
        <s v="беленькие бумажки"/>
        <s v="беленький городок"/>
        <s v="беленькими домиками"/>
        <s v="беленькими ручками"/>
        <s v="беленьких цветочков"/>
        <s v="голубеньком платьице"/>
        <s v="желтенький домик"/>
        <s v="зелененькую травку"/>
        <s v="красненький платочек"/>
        <s v="красненьким носиком"/>
        <s v="красненькую книжечку"/>
        <s v="пестренькие птички"/>
        <s v="розовенькое платьице"/>
        <s v="рыженькая собачка"/>
        <s v="светленькие глазки"/>
        <s v="седенькие волосики"/>
        <s v="седенькому старичку"/>
        <s v="серенькие домики"/>
        <s v="серенький старичок"/>
        <s v="серенький человечек"/>
        <s v="серенькую бумажку"/>
        <s v="серенькую птичку"/>
        <s v="синенькая жилка"/>
        <s v="синенький дымок"/>
        <s v="синенькую тетрадку"/>
        <s v="черненького хлебца"/>
        <m/>
      </sharedItems>
    </cacheField>
    <cacheField name="NGRAM_LEMMA" numFmtId="0">
      <sharedItems containsBlank="1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  <m/>
      </sharedItems>
    </cacheField>
    <cacheField name="LEMMA1" numFmtId="0">
      <sharedItems containsBlank="1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SUFFIX" numFmtId="0">
      <sharedItems containsBlank="1">
        <s v="ек"/>
        <s v="ок"/>
        <s v="ик"/>
        <s v="ка"/>
        <s v="ице"/>
        <s v="ико"/>
        <s v="очка"/>
        <s v="ечка"/>
        <s v="ец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00" sheet="Серый козел"/>
  </cacheSource>
  <cacheFields>
    <cacheField name="DOCUMENTS" numFmtId="0">
      <sharedItems containsString="0" containsBlank="1" containsNumber="1" containsInteger="1">
        <n v="935.0"/>
        <n v="687.0"/>
        <n v="860.0"/>
        <n v="812.0"/>
        <n v="733.0"/>
        <n v="544.0"/>
        <n v="727.0"/>
        <n v="706.0"/>
        <n v="480.0"/>
        <n v="603.0"/>
        <n v="571.0"/>
        <n v="552.0"/>
        <n v="465.0"/>
        <n v="421.0"/>
        <n v="435.0"/>
        <n v="451.0"/>
        <n v="372.0"/>
        <n v="361.0"/>
        <n v="386.0"/>
        <n v="373.0"/>
        <n v="276.0"/>
        <n v="319.0"/>
        <n v="346.0"/>
        <n v="326.0"/>
        <n v="343.0"/>
        <n v="300.0"/>
        <n v="334.0"/>
        <n v="304.0"/>
        <n v="311.0"/>
        <n v="297.0"/>
        <n v="266.0"/>
        <n v="267.0"/>
        <n v="265.0"/>
        <n v="151.0"/>
        <n v="249.0"/>
        <n v="257.0"/>
        <n v="219.0"/>
        <n v="256.0"/>
        <n v="231.0"/>
        <n v="224.0"/>
        <n v="236.0"/>
        <n v="239.0"/>
        <n v="213.0"/>
        <n v="226.0"/>
        <n v="216.0"/>
        <n v="221.0"/>
        <n v="204.0"/>
        <n v="233.0"/>
        <n v="234.0"/>
        <n v="215.0"/>
        <n v="222.0"/>
        <n v="209.0"/>
        <n v="207.0"/>
        <n v="166.0"/>
        <n v="205.0"/>
        <n v="39.0"/>
        <n v="188.0"/>
        <n v="179.0"/>
        <n v="173.0"/>
        <n v="187.0"/>
        <n v="178.0"/>
        <n v="176.0"/>
        <n v="167.0"/>
        <n v="180.0"/>
        <n v="158.0"/>
        <n v="156.0"/>
        <n v="162.0"/>
        <n v="163.0"/>
        <n v="74.0"/>
        <n v="159.0"/>
        <n v="123.0"/>
        <n v="149.0"/>
        <n v="152.0"/>
        <n v="141.0"/>
        <n v="150.0"/>
        <n v="70.0"/>
        <n v="38.0"/>
        <n v="124.0"/>
        <n v="109.0"/>
        <n v="142.0"/>
        <n v="135.0"/>
        <n v="136.0"/>
        <n v="101.0"/>
        <n v="139.0"/>
        <n v="127.0"/>
        <m/>
      </sharedItems>
    </cacheField>
    <cacheField name="OCCURRENCES" numFmtId="0">
      <sharedItems containsString="0" containsBlank="1" containsNumber="1" containsInteger="1">
        <n v="1313.0"/>
        <n v="1310.0"/>
        <n v="1280.0"/>
        <n v="1069.0"/>
        <n v="1043.0"/>
        <n v="1012.0"/>
        <n v="960.0"/>
        <n v="903.0"/>
        <n v="735.0"/>
        <n v="720.0"/>
        <n v="680.0"/>
        <n v="647.0"/>
        <n v="613.0"/>
        <n v="610.0"/>
        <n v="589.0"/>
        <n v="584.0"/>
        <n v="542.0"/>
        <n v="477.0"/>
        <n v="462.0"/>
        <n v="451.0"/>
        <n v="435.0"/>
        <n v="434.0"/>
        <n v="411.0"/>
        <n v="400.0"/>
        <n v="394.0"/>
        <n v="386.0"/>
        <n v="381.0"/>
        <n v="361.0"/>
        <n v="357.0"/>
        <n v="350.0"/>
        <n v="335.0"/>
        <n v="332.0"/>
        <n v="323.0"/>
        <n v="322.0"/>
        <n v="313.0"/>
        <n v="300.0"/>
        <n v="298.0"/>
        <n v="294.0"/>
        <n v="283.0"/>
        <n v="275.0"/>
        <n v="273.0"/>
        <n v="272.0"/>
        <n v="271.0"/>
        <n v="266.0"/>
        <n v="263.0"/>
        <n v="262.0"/>
        <n v="261.0"/>
        <n v="259.0"/>
        <n v="253.0"/>
        <n v="235.0"/>
        <n v="234.0"/>
        <n v="231.0"/>
        <n v="230.0"/>
        <n v="221.0"/>
        <n v="220.0"/>
        <n v="218.0"/>
        <n v="209.0"/>
        <n v="198.0"/>
        <n v="193.0"/>
        <n v="190.0"/>
        <n v="187.0"/>
        <n v="186.0"/>
        <n v="184.0"/>
        <n v="183.0"/>
        <n v="182.0"/>
        <n v="181.0"/>
        <n v="177.0"/>
        <n v="176.0"/>
        <n v="174.0"/>
        <n v="173.0"/>
        <n v="166.0"/>
        <n v="160.0"/>
        <n v="158.0"/>
        <n v="157.0"/>
        <n v="156.0"/>
        <n v="154.0"/>
        <n v="153.0"/>
        <n v="151.0"/>
        <n v="148.0"/>
        <n v="145.0"/>
        <m/>
      </sharedItems>
    </cacheField>
    <cacheField name="NGRAM" numFmtId="0">
      <sharedItems containsBlank="1">
        <s v="голубые глаза"/>
        <s v="красного креста"/>
        <s v="черные глаза"/>
        <s v="голубыми глазами"/>
        <s v="серые глаза"/>
        <s v="белого дома"/>
        <s v="черными глазами"/>
        <s v="черного хлеба"/>
        <s v="белый дом"/>
        <s v="черные волосы"/>
        <s v="седые волосы"/>
        <s v="седых волос"/>
        <s v="серыми глазами"/>
        <s v="темные глаза"/>
        <s v="белом платье"/>
        <s v="карие глаза"/>
        <s v="белом доме"/>
        <s v="черном платье"/>
        <s v="белого хлеба"/>
        <s v="черный хлеб"/>
        <s v="красный крест"/>
        <s v="синие глаза"/>
        <s v="белый хлеб"/>
        <s v="белое платье"/>
        <s v="черными волосами"/>
        <s v="темными глазами"/>
        <s v="карими глазами"/>
        <s v="светлые волосы"/>
        <s v="седой бородой"/>
        <s v="седыми волосами"/>
        <s v="седую голову"/>
        <s v="светлые глаза"/>
        <s v="черной бородой"/>
        <s v="синими глазами"/>
        <s v="черный человек"/>
        <s v="рыжие волосы"/>
        <s v="черное платье"/>
        <s v="зеленые глаза"/>
        <s v="темные волосы"/>
        <s v="золотые руки"/>
        <s v="красным крестом"/>
        <s v="черный дым"/>
        <s v="мутными глазами"/>
        <s v="красным лицом"/>
        <s v="белые руки"/>
        <s v="черных волос"/>
        <s v="седой старик"/>
        <s v="зелеными глазами"/>
        <s v="белое лицо"/>
        <s v="черным хлебом"/>
        <s v="русые волосы"/>
        <s v="серых глаз"/>
        <s v="черных глаз"/>
        <s v="черными усами"/>
        <s v="красное лицо"/>
        <s v="светлыми глазами"/>
        <s v="красную книгу"/>
        <s v="красными глазами"/>
        <s v="белом городе"/>
        <s v="седой головой"/>
        <s v="седыми усами"/>
        <s v="черного дыма"/>
        <s v="белый платок"/>
        <s v="белой бумаги"/>
        <s v="белым платком"/>
        <s v="голубых глаз"/>
        <s v="мутные глаза"/>
        <s v="красным носом"/>
        <s v="желтое лицо"/>
        <s v="седые усы"/>
        <s v="черных глазах"/>
        <s v="рыжими волосами"/>
        <s v="белый город"/>
        <s v="седая голова"/>
        <s v="седая борода"/>
        <s v="белому дому"/>
        <s v="темная фигура"/>
        <s v="темные фигуры"/>
        <s v="рыжей бородой"/>
        <s v="светлыми волосами"/>
        <s v="красные глаза"/>
        <s v="белые люди"/>
        <s v="зеленой траве"/>
        <s v="краснаго креста"/>
        <s v="красный нос"/>
        <s v="синяя птица"/>
        <s v="серых глазах"/>
        <s v="румяное лицо"/>
        <s v="белым хлебом"/>
        <s v="зеленая трава"/>
        <s v="черные люди"/>
        <s v="белой бородой"/>
        <s v="карих глаз"/>
        <s v="темных глаз"/>
        <s v="белые цветы"/>
        <m/>
      </sharedItems>
    </cacheField>
    <cacheField name="NGRAM_LEMMA" numFmtId="0">
      <sharedItems containsBlank="1">
        <s v="голубой глаз"/>
        <s v="красный крест"/>
        <s v="черный глаз"/>
        <s v="серый глаз"/>
        <s v="белый дом"/>
        <s v="черный хлеб"/>
        <s v="черный волос"/>
        <s v="седой волос"/>
        <s v="темный глаз"/>
        <s v="белый платье"/>
        <s v="карий глаз"/>
        <s v="черный платье"/>
        <s v="белый хлеб"/>
        <s v="синий глаз"/>
        <s v="светлый волос"/>
        <s v="седой борода"/>
        <s v="седой голова"/>
        <s v="светлый глаз"/>
        <s v="черный борода"/>
        <s v="черный человек"/>
        <s v="рыжий волос"/>
        <s v="зеленый глаз"/>
        <s v="темный волос"/>
        <s v="золотой рука"/>
        <s v="черный дым"/>
        <s v="мутный глаз"/>
        <s v="красный лицо"/>
        <s v="белый рука"/>
        <s v="седой старик"/>
        <s v="белый лицо"/>
        <s v="русый волос"/>
        <s v="черный ус"/>
        <s v="красный книга"/>
        <s v="красный глаз"/>
        <s v="белый город"/>
        <s v="седой ус"/>
        <s v="белый платок"/>
        <s v="белый бумага"/>
        <s v="красный нос"/>
        <s v="желтый лицо"/>
        <s v="темный фигура"/>
        <s v="рыжий борода"/>
        <s v="белый человек"/>
        <s v="зеленый трава"/>
        <s v="синий птица"/>
        <s v="румяный лицо"/>
        <s v="белый борода"/>
        <s v="белый цветок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47" firstHeaderRow="0" firstDataRow="2" firstDataCol="0"/>
  <pivotFields>
    <pivotField name="цветочек" axis="axisRow" compact="0" outline="0" multipleItemSelectionAllowed="1" showAll="0" sortType="ascending">
      <items>
        <item x="36"/>
        <item x="13"/>
        <item x="16"/>
        <item x="12"/>
        <item x="31"/>
        <item x="24"/>
        <item x="33"/>
        <item x="6"/>
        <item x="34"/>
        <item x="27"/>
        <item x="9"/>
        <item x="26"/>
        <item x="23"/>
        <item x="5"/>
        <item x="22"/>
        <item x="8"/>
        <item x="29"/>
        <item x="20"/>
        <item x="11"/>
        <item x="3"/>
        <item x="32"/>
        <item x="1"/>
        <item x="35"/>
        <item x="18"/>
        <item x="15"/>
        <item x="19"/>
        <item x="30"/>
        <item x="14"/>
        <item x="28"/>
        <item x="10"/>
        <item x="25"/>
        <item x="7"/>
        <item x="17"/>
        <item x="21"/>
        <item x="4"/>
        <item x="0"/>
        <item x="2"/>
        <item t="default"/>
      </items>
    </pivotField>
    <pivotField name="ек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</pivotFields>
  <rowFields>
    <field x="1"/>
    <field x="0"/>
  </rowFields>
</pivotTableDefinition>
</file>

<file path=xl/pivotTables/pivotTable2.xml><?xml version="1.0" encoding="utf-8"?>
<pivotTableDefinition xmlns="http://schemas.openxmlformats.org/spreadsheetml/2006/main" name="сводная таблица для задания 1.1" cacheId="1" dataCaption="" compact="0" compactData="0">
  <location ref="A1:B18" firstHeaderRow="0" firstDataRow="1" firstDataCol="0"/>
  <pivotFields>
    <pivotField name="LEMMA1" axis="axisRow" compact="0" outline="0" multipleItemSelectionAllowed="1" showAll="0" sortType="ascending">
      <items>
        <item x="15"/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t="default"/>
      </items>
    </pivotField>
  </pivotFields>
  <rowFields>
    <field x="0"/>
  </rowFields>
</pivotTableDefinition>
</file>

<file path=xl/pivotTables/pivotTable3.xml><?xml version="1.0" encoding="utf-8"?>
<pivotTableDefinition xmlns="http://schemas.openxmlformats.org/spreadsheetml/2006/main" name="1.1 (сводная таблица для задани" cacheId="2" dataCaption="" compact="0" compactData="0">
  <location ref="A1:B69" firstHeaderRow="0" firstDataRow="1" firstDataCol="0"/>
  <pivotFields>
    <pivotField name="DOCU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NGRAM_LEMM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EMMA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EMM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UFF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3"/>
  </rowFields>
  <dataFields>
    <dataField name="SUM of OCCURRENCES" fld="1" baseField="0"/>
  </dataFields>
</pivotTableDefinition>
</file>

<file path=xl/pivotTables/pivotTable4.xml><?xml version="1.0" encoding="utf-8"?>
<pivotTableDefinition xmlns="http://schemas.openxmlformats.org/spreadsheetml/2006/main" name="сводная таблица для задания 1.3" cacheId="3" dataCaption="" compact="0" compactData="0">
  <location ref="A1:B51" firstHeaderRow="0" firstDataRow="1" firstDataCol="0"/>
  <pivotFields>
    <pivotField name="DOCU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NGRAM_LEMM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</pivotFields>
  <rowFields>
    <field x="3"/>
  </rowFields>
  <dataFields>
    <dataField name="SUM of OCCURRENCES" fld="1" baseField="0"/>
  </dataFields>
</pivotTableDefinition>
</file>

<file path=xl/pivotTables/pivotTable5.xml><?xml version="1.0" encoding="utf-8"?>
<pivotTableDefinition xmlns="http://schemas.openxmlformats.org/spreadsheetml/2006/main" name="сводная таблица для задания 2.2" cacheId="2" dataCaption="" compact="0" compactData="0">
  <location ref="A1:D49" firstHeaderRow="0" firstDataRow="3" firstDataCol="0"/>
  <pivotFields>
    <pivotField name="DOCU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NGRAM_LEM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LEMMA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EMMA2" axis="axisRow" compact="0" outline="0" multipleItemSelectionAllowed="1" showAll="0" sortType="ascending">
      <items>
        <item x="36"/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t="default"/>
      </items>
    </pivotField>
    <pivotField name="SUFFIX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6"/>
    <field x="5"/>
  </rowFields>
  <colFields>
    <field x="-2"/>
  </colFields>
  <dataFields>
    <dataField name="COUNTA of SUFFIX" fld="6" subtotal="count" baseField="0"/>
    <dataField name="SUM of OCCURRENCES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4.0"/>
    <col customWidth="1" min="3" max="3" width="21.13"/>
    <col customWidth="1" min="4" max="5" width="1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7</v>
      </c>
      <c r="J1" s="3" t="s">
        <v>7</v>
      </c>
      <c r="K1" s="3" t="s">
        <v>7</v>
      </c>
      <c r="L1" s="3" t="s">
        <v>7</v>
      </c>
      <c r="M1" s="3" t="s">
        <v>7</v>
      </c>
      <c r="N1" s="3" t="s">
        <v>7</v>
      </c>
      <c r="O1" s="3" t="s">
        <v>7</v>
      </c>
      <c r="P1" s="3" t="s">
        <v>7</v>
      </c>
      <c r="Q1" s="3" t="s">
        <v>7</v>
      </c>
      <c r="R1" s="3" t="s">
        <v>7</v>
      </c>
      <c r="S1" s="3" t="s">
        <v>7</v>
      </c>
      <c r="T1" s="3" t="s">
        <v>7</v>
      </c>
      <c r="U1" s="3" t="s">
        <v>7</v>
      </c>
      <c r="V1" s="3" t="s">
        <v>7</v>
      </c>
      <c r="W1" s="3" t="s">
        <v>7</v>
      </c>
      <c r="X1" s="3" t="s">
        <v>7</v>
      </c>
      <c r="Y1" s="3" t="s">
        <v>7</v>
      </c>
    </row>
    <row r="2">
      <c r="A2" s="4">
        <v>52.0</v>
      </c>
      <c r="B2" s="4">
        <v>90.0</v>
      </c>
      <c r="C2" s="5" t="s">
        <v>8</v>
      </c>
      <c r="D2" s="5" t="s">
        <v>8</v>
      </c>
      <c r="E2" s="6" t="s">
        <v>9</v>
      </c>
      <c r="F2" s="6" t="s">
        <v>10</v>
      </c>
      <c r="G2" s="5" t="str">
        <f t="shared" ref="G2:G27" si="1">RIGHT(F2, 2)</f>
        <v>ек</v>
      </c>
      <c r="H2" s="5"/>
    </row>
    <row r="3">
      <c r="A3" s="4">
        <v>62.0</v>
      </c>
      <c r="B3" s="4">
        <v>65.0</v>
      </c>
      <c r="C3" s="5" t="s">
        <v>11</v>
      </c>
      <c r="D3" s="5" t="s">
        <v>11</v>
      </c>
      <c r="E3" s="6" t="s">
        <v>12</v>
      </c>
      <c r="F3" s="6" t="s">
        <v>13</v>
      </c>
      <c r="G3" s="5" t="str">
        <f t="shared" si="1"/>
        <v>ок</v>
      </c>
      <c r="H3" s="5"/>
    </row>
    <row r="4">
      <c r="A4" s="4">
        <v>21.0</v>
      </c>
      <c r="B4" s="4">
        <v>28.0</v>
      </c>
      <c r="C4" s="5" t="s">
        <v>14</v>
      </c>
      <c r="D4" s="5" t="s">
        <v>14</v>
      </c>
      <c r="E4" s="6" t="s">
        <v>15</v>
      </c>
      <c r="F4" s="6" t="s">
        <v>16</v>
      </c>
      <c r="G4" s="5" t="str">
        <f t="shared" si="1"/>
        <v>ик</v>
      </c>
      <c r="H4" s="5"/>
    </row>
    <row r="5">
      <c r="A5" s="4">
        <v>14.0</v>
      </c>
      <c r="B5" s="4">
        <v>20.0</v>
      </c>
      <c r="C5" s="5" t="s">
        <v>17</v>
      </c>
      <c r="D5" s="5" t="s">
        <v>18</v>
      </c>
      <c r="E5" s="6" t="s">
        <v>19</v>
      </c>
      <c r="F5" s="6" t="s">
        <v>20</v>
      </c>
      <c r="G5" s="5" t="str">
        <f t="shared" si="1"/>
        <v>ок</v>
      </c>
      <c r="H5" s="5"/>
    </row>
    <row r="6">
      <c r="A6" s="4">
        <v>19.0</v>
      </c>
      <c r="B6" s="4">
        <v>19.0</v>
      </c>
      <c r="C6" s="5" t="s">
        <v>21</v>
      </c>
      <c r="D6" s="5" t="s">
        <v>21</v>
      </c>
      <c r="E6" s="6" t="s">
        <v>15</v>
      </c>
      <c r="F6" s="6" t="s">
        <v>22</v>
      </c>
      <c r="G6" s="5" t="str">
        <f t="shared" si="1"/>
        <v>ик</v>
      </c>
      <c r="H6" s="5"/>
    </row>
    <row r="7">
      <c r="A7" s="4">
        <v>18.0</v>
      </c>
      <c r="B7" s="4">
        <v>18.0</v>
      </c>
      <c r="C7" s="5" t="s">
        <v>23</v>
      </c>
      <c r="D7" s="5" t="s">
        <v>24</v>
      </c>
      <c r="E7" s="6" t="s">
        <v>12</v>
      </c>
      <c r="F7" s="6" t="s">
        <v>25</v>
      </c>
      <c r="G7" s="5" t="str">
        <f t="shared" si="1"/>
        <v>ка</v>
      </c>
      <c r="H7" s="5"/>
    </row>
    <row r="8">
      <c r="A8" s="4">
        <v>3.0</v>
      </c>
      <c r="B8" s="4">
        <v>17.0</v>
      </c>
      <c r="C8" s="5" t="s">
        <v>26</v>
      </c>
      <c r="D8" s="5" t="s">
        <v>26</v>
      </c>
      <c r="E8" s="6" t="s">
        <v>27</v>
      </c>
      <c r="F8" s="6" t="s">
        <v>10</v>
      </c>
      <c r="G8" s="5" t="str">
        <f t="shared" si="1"/>
        <v>ек</v>
      </c>
      <c r="H8" s="5"/>
    </row>
    <row r="9">
      <c r="A9" s="4">
        <v>12.0</v>
      </c>
      <c r="B9" s="4">
        <v>16.0</v>
      </c>
      <c r="C9" s="5" t="s">
        <v>28</v>
      </c>
      <c r="D9" s="5" t="s">
        <v>29</v>
      </c>
      <c r="E9" s="6" t="s">
        <v>30</v>
      </c>
      <c r="F9" s="6" t="s">
        <v>20</v>
      </c>
      <c r="G9" s="5" t="str">
        <f t="shared" si="1"/>
        <v>ок</v>
      </c>
      <c r="H9" s="5"/>
    </row>
    <row r="10">
      <c r="A10" s="4">
        <v>12.0</v>
      </c>
      <c r="B10" s="4">
        <v>15.0</v>
      </c>
      <c r="C10" s="5" t="s">
        <v>31</v>
      </c>
      <c r="D10" s="5" t="s">
        <v>31</v>
      </c>
      <c r="E10" s="6" t="s">
        <v>27</v>
      </c>
      <c r="F10" s="6" t="s">
        <v>22</v>
      </c>
      <c r="G10" s="5" t="str">
        <f t="shared" si="1"/>
        <v>ик</v>
      </c>
      <c r="H10" s="5"/>
    </row>
    <row r="11">
      <c r="A11" s="4">
        <v>14.0</v>
      </c>
      <c r="B11" s="4">
        <v>14.0</v>
      </c>
      <c r="C11" s="5" t="s">
        <v>32</v>
      </c>
      <c r="D11" s="5" t="s">
        <v>8</v>
      </c>
      <c r="E11" s="6" t="s">
        <v>9</v>
      </c>
      <c r="F11" s="6" t="s">
        <v>10</v>
      </c>
      <c r="G11" s="5" t="str">
        <f t="shared" si="1"/>
        <v>ек</v>
      </c>
      <c r="H11" s="5"/>
    </row>
    <row r="12">
      <c r="A12" s="4">
        <v>14.0</v>
      </c>
      <c r="B12" s="4">
        <v>14.0</v>
      </c>
      <c r="C12" s="5" t="s">
        <v>33</v>
      </c>
      <c r="D12" s="5" t="s">
        <v>11</v>
      </c>
      <c r="E12" s="6" t="s">
        <v>12</v>
      </c>
      <c r="F12" s="6" t="s">
        <v>13</v>
      </c>
      <c r="G12" s="5" t="str">
        <f t="shared" si="1"/>
        <v>ок</v>
      </c>
      <c r="H12" s="5"/>
    </row>
    <row r="13">
      <c r="A13" s="4">
        <v>11.0</v>
      </c>
      <c r="B13" s="4">
        <v>13.0</v>
      </c>
      <c r="C13" s="5" t="s">
        <v>34</v>
      </c>
      <c r="D13" s="5" t="s">
        <v>35</v>
      </c>
      <c r="E13" s="6" t="s">
        <v>12</v>
      </c>
      <c r="F13" s="6" t="s">
        <v>36</v>
      </c>
      <c r="G13" s="5" t="str">
        <f t="shared" si="1"/>
        <v>ка</v>
      </c>
      <c r="H13" s="5"/>
    </row>
    <row r="14">
      <c r="A14" s="4">
        <v>11.0</v>
      </c>
      <c r="B14" s="4">
        <v>13.0</v>
      </c>
      <c r="C14" s="5" t="s">
        <v>37</v>
      </c>
      <c r="D14" s="5" t="s">
        <v>38</v>
      </c>
      <c r="E14" s="6" t="s">
        <v>19</v>
      </c>
      <c r="F14" s="6" t="s">
        <v>39</v>
      </c>
      <c r="G14" s="5" t="str">
        <f t="shared" si="1"/>
        <v>ик</v>
      </c>
      <c r="H14" s="5"/>
    </row>
    <row r="15">
      <c r="A15" s="4">
        <v>12.0</v>
      </c>
      <c r="B15" s="4">
        <v>12.0</v>
      </c>
      <c r="C15" s="5" t="s">
        <v>40</v>
      </c>
      <c r="D15" s="5" t="s">
        <v>41</v>
      </c>
      <c r="E15" s="6" t="s">
        <v>15</v>
      </c>
      <c r="F15" s="6" t="s">
        <v>20</v>
      </c>
      <c r="G15" s="5" t="str">
        <f t="shared" si="1"/>
        <v>ок</v>
      </c>
      <c r="H15" s="5"/>
    </row>
    <row r="16">
      <c r="A16" s="4">
        <v>11.0</v>
      </c>
      <c r="B16" s="4">
        <v>11.0</v>
      </c>
      <c r="C16" s="5" t="s">
        <v>42</v>
      </c>
      <c r="D16" s="5" t="s">
        <v>31</v>
      </c>
      <c r="E16" s="6" t="s">
        <v>27</v>
      </c>
      <c r="F16" s="6" t="s">
        <v>22</v>
      </c>
      <c r="G16" s="5" t="str">
        <f t="shared" si="1"/>
        <v>ик</v>
      </c>
      <c r="H16" s="5"/>
    </row>
    <row r="17">
      <c r="A17" s="4">
        <v>10.0</v>
      </c>
      <c r="B17" s="4">
        <v>10.0</v>
      </c>
      <c r="C17" s="5" t="s">
        <v>43</v>
      </c>
      <c r="D17" s="5" t="s">
        <v>44</v>
      </c>
      <c r="E17" s="6" t="s">
        <v>27</v>
      </c>
      <c r="F17" s="6" t="s">
        <v>45</v>
      </c>
      <c r="G17" s="5" t="str">
        <f t="shared" si="1"/>
        <v>ка</v>
      </c>
      <c r="H17" s="5"/>
    </row>
    <row r="18">
      <c r="A18" s="4">
        <v>9.0</v>
      </c>
      <c r="B18" s="4">
        <v>10.0</v>
      </c>
      <c r="C18" s="5" t="s">
        <v>46</v>
      </c>
      <c r="D18" s="5" t="s">
        <v>46</v>
      </c>
      <c r="E18" s="6" t="s">
        <v>27</v>
      </c>
      <c r="F18" s="6" t="s">
        <v>47</v>
      </c>
      <c r="G18" s="5" t="str">
        <f t="shared" si="1"/>
        <v>ек</v>
      </c>
      <c r="H18" s="5"/>
    </row>
    <row r="19">
      <c r="A19" s="4">
        <v>9.0</v>
      </c>
      <c r="B19" s="4">
        <v>10.0</v>
      </c>
      <c r="C19" s="5" t="s">
        <v>48</v>
      </c>
      <c r="D19" s="5" t="s">
        <v>49</v>
      </c>
      <c r="E19" s="6" t="s">
        <v>50</v>
      </c>
      <c r="F19" s="6" t="s">
        <v>51</v>
      </c>
      <c r="G19" s="5" t="str">
        <f t="shared" si="1"/>
        <v>ка</v>
      </c>
      <c r="H19" s="5"/>
    </row>
    <row r="20">
      <c r="A20" s="4">
        <v>9.0</v>
      </c>
      <c r="B20" s="4">
        <v>10.0</v>
      </c>
      <c r="C20" s="5" t="s">
        <v>52</v>
      </c>
      <c r="D20" s="5" t="s">
        <v>53</v>
      </c>
      <c r="E20" s="6" t="s">
        <v>54</v>
      </c>
      <c r="F20" s="6" t="s">
        <v>51</v>
      </c>
      <c r="G20" s="5" t="str">
        <f t="shared" si="1"/>
        <v>ка</v>
      </c>
      <c r="H20" s="5"/>
    </row>
    <row r="21">
      <c r="A21" s="4">
        <v>10.0</v>
      </c>
      <c r="B21" s="4">
        <v>10.0</v>
      </c>
      <c r="C21" s="5" t="s">
        <v>55</v>
      </c>
      <c r="D21" s="5" t="s">
        <v>56</v>
      </c>
      <c r="E21" s="6" t="s">
        <v>57</v>
      </c>
      <c r="F21" s="6" t="s">
        <v>51</v>
      </c>
      <c r="G21" s="5" t="str">
        <f t="shared" si="1"/>
        <v>ка</v>
      </c>
      <c r="H21" s="5"/>
    </row>
    <row r="22">
      <c r="A22" s="4">
        <v>2.0</v>
      </c>
      <c r="B22" s="4">
        <v>10.0</v>
      </c>
      <c r="C22" s="5" t="s">
        <v>58</v>
      </c>
      <c r="D22" s="5" t="s">
        <v>59</v>
      </c>
      <c r="E22" s="6" t="s">
        <v>60</v>
      </c>
      <c r="F22" s="6" t="s">
        <v>61</v>
      </c>
      <c r="G22" s="5" t="str">
        <f t="shared" si="1"/>
        <v>ка</v>
      </c>
      <c r="H22" s="5"/>
    </row>
    <row r="23">
      <c r="A23" s="4">
        <v>7.0</v>
      </c>
      <c r="B23" s="4">
        <v>9.0</v>
      </c>
      <c r="C23" s="5" t="s">
        <v>62</v>
      </c>
      <c r="D23" s="5" t="s">
        <v>62</v>
      </c>
      <c r="E23" s="6" t="s">
        <v>27</v>
      </c>
      <c r="F23" s="6" t="s">
        <v>63</v>
      </c>
      <c r="G23" s="5" t="str">
        <f t="shared" si="1"/>
        <v>ик</v>
      </c>
      <c r="H23" s="5"/>
    </row>
    <row r="24">
      <c r="A24" s="4">
        <v>6.0</v>
      </c>
      <c r="B24" s="4">
        <v>9.0</v>
      </c>
      <c r="C24" s="5" t="s">
        <v>64</v>
      </c>
      <c r="D24" s="5" t="s">
        <v>64</v>
      </c>
      <c r="E24" s="6" t="s">
        <v>65</v>
      </c>
      <c r="F24" s="6" t="s">
        <v>66</v>
      </c>
      <c r="G24" s="5" t="str">
        <f t="shared" si="1"/>
        <v>ек</v>
      </c>
      <c r="H24" s="5"/>
    </row>
    <row r="25">
      <c r="A25" s="4">
        <v>9.0</v>
      </c>
      <c r="B25" s="4">
        <v>9.0</v>
      </c>
      <c r="C25" s="5" t="s">
        <v>67</v>
      </c>
      <c r="D25" s="5" t="s">
        <v>68</v>
      </c>
      <c r="E25" s="6" t="s">
        <v>15</v>
      </c>
      <c r="F25" s="6" t="s">
        <v>69</v>
      </c>
      <c r="G25" s="5" t="str">
        <f t="shared" si="1"/>
        <v>ка</v>
      </c>
      <c r="H25" s="5"/>
    </row>
    <row r="26">
      <c r="A26" s="4">
        <v>6.0</v>
      </c>
      <c r="B26" s="4">
        <v>9.0</v>
      </c>
      <c r="C26" s="5" t="s">
        <v>70</v>
      </c>
      <c r="D26" s="5" t="s">
        <v>70</v>
      </c>
      <c r="E26" s="6" t="s">
        <v>19</v>
      </c>
      <c r="F26" s="6" t="s">
        <v>66</v>
      </c>
      <c r="G26" s="5" t="str">
        <f t="shared" si="1"/>
        <v>ек</v>
      </c>
      <c r="H26" s="5"/>
    </row>
    <row r="27">
      <c r="A27" s="4">
        <v>8.0</v>
      </c>
      <c r="B27" s="4">
        <v>8.0</v>
      </c>
      <c r="C27" s="5" t="s">
        <v>71</v>
      </c>
      <c r="D27" s="5" t="s">
        <v>71</v>
      </c>
      <c r="E27" s="6" t="s">
        <v>27</v>
      </c>
      <c r="F27" s="6" t="s">
        <v>13</v>
      </c>
      <c r="G27" s="5" t="str">
        <f t="shared" si="1"/>
        <v>ок</v>
      </c>
      <c r="H27" s="5"/>
    </row>
    <row r="28">
      <c r="A28" s="4">
        <v>8.0</v>
      </c>
      <c r="B28" s="4">
        <v>8.0</v>
      </c>
      <c r="C28" s="5" t="s">
        <v>72</v>
      </c>
      <c r="D28" s="5" t="s">
        <v>73</v>
      </c>
      <c r="E28" s="6" t="s">
        <v>27</v>
      </c>
      <c r="F28" s="6" t="s">
        <v>74</v>
      </c>
      <c r="G28" s="5" t="str">
        <f>RIGHT(F28, 3)</f>
        <v>ице</v>
      </c>
      <c r="H28" s="5"/>
    </row>
    <row r="29">
      <c r="A29" s="4">
        <v>8.0</v>
      </c>
      <c r="B29" s="4">
        <v>8.0</v>
      </c>
      <c r="C29" s="5" t="s">
        <v>75</v>
      </c>
      <c r="D29" s="5" t="s">
        <v>29</v>
      </c>
      <c r="E29" s="6" t="s">
        <v>30</v>
      </c>
      <c r="F29" s="6" t="s">
        <v>20</v>
      </c>
      <c r="G29" s="5" t="str">
        <f t="shared" ref="G29:G32" si="2">RIGHT(F29, 2)</f>
        <v>ок</v>
      </c>
      <c r="H29" s="5"/>
    </row>
    <row r="30">
      <c r="A30" s="4">
        <v>8.0</v>
      </c>
      <c r="B30" s="4">
        <v>8.0</v>
      </c>
      <c r="C30" s="5" t="s">
        <v>76</v>
      </c>
      <c r="D30" s="5" t="s">
        <v>21</v>
      </c>
      <c r="E30" s="6" t="s">
        <v>15</v>
      </c>
      <c r="F30" s="6" t="s">
        <v>22</v>
      </c>
      <c r="G30" s="5" t="str">
        <f t="shared" si="2"/>
        <v>ик</v>
      </c>
      <c r="H30" s="5"/>
    </row>
    <row r="31">
      <c r="A31" s="4">
        <v>8.0</v>
      </c>
      <c r="B31" s="4">
        <v>8.0</v>
      </c>
      <c r="C31" s="5" t="s">
        <v>77</v>
      </c>
      <c r="D31" s="5" t="s">
        <v>78</v>
      </c>
      <c r="E31" s="6" t="s">
        <v>15</v>
      </c>
      <c r="F31" s="6" t="s">
        <v>79</v>
      </c>
      <c r="G31" s="5" t="str">
        <f t="shared" si="2"/>
        <v>ок</v>
      </c>
      <c r="H31" s="5"/>
    </row>
    <row r="32">
      <c r="A32" s="4">
        <v>6.0</v>
      </c>
      <c r="B32" s="4">
        <v>7.0</v>
      </c>
      <c r="C32" s="5" t="s">
        <v>80</v>
      </c>
      <c r="D32" s="5" t="s">
        <v>26</v>
      </c>
      <c r="E32" s="6" t="s">
        <v>27</v>
      </c>
      <c r="F32" s="6" t="s">
        <v>10</v>
      </c>
      <c r="G32" s="5" t="str">
        <f t="shared" si="2"/>
        <v>ек</v>
      </c>
      <c r="H32" s="5"/>
    </row>
    <row r="33">
      <c r="A33" s="4">
        <v>7.0</v>
      </c>
      <c r="B33" s="4">
        <v>7.0</v>
      </c>
      <c r="C33" s="5" t="s">
        <v>81</v>
      </c>
      <c r="D33" s="5" t="s">
        <v>82</v>
      </c>
      <c r="E33" s="6" t="s">
        <v>27</v>
      </c>
      <c r="F33" s="6" t="s">
        <v>83</v>
      </c>
      <c r="G33" s="5" t="str">
        <f t="shared" ref="G33:G34" si="3">RIGHT(F33, 3)</f>
        <v>ико</v>
      </c>
      <c r="H33" s="5"/>
    </row>
    <row r="34">
      <c r="A34" s="4">
        <v>7.0</v>
      </c>
      <c r="B34" s="4">
        <v>7.0</v>
      </c>
      <c r="C34" s="5" t="s">
        <v>84</v>
      </c>
      <c r="D34" s="5" t="s">
        <v>73</v>
      </c>
      <c r="E34" s="6" t="s">
        <v>27</v>
      </c>
      <c r="F34" s="6" t="s">
        <v>74</v>
      </c>
      <c r="G34" s="5" t="str">
        <f t="shared" si="3"/>
        <v>ице</v>
      </c>
      <c r="H34" s="5"/>
    </row>
    <row r="35">
      <c r="A35" s="4">
        <v>7.0</v>
      </c>
      <c r="B35" s="4">
        <v>7.0</v>
      </c>
      <c r="C35" s="5" t="s">
        <v>85</v>
      </c>
      <c r="D35" s="5" t="s">
        <v>86</v>
      </c>
      <c r="E35" s="6" t="s">
        <v>65</v>
      </c>
      <c r="F35" s="6" t="s">
        <v>25</v>
      </c>
      <c r="G35" s="5" t="str">
        <f t="shared" ref="G35:G36" si="4">RIGHT(F35, 2)</f>
        <v>ка</v>
      </c>
      <c r="H35" s="5"/>
    </row>
    <row r="36">
      <c r="A36" s="4">
        <v>7.0</v>
      </c>
      <c r="B36" s="4">
        <v>7.0</v>
      </c>
      <c r="C36" s="5" t="s">
        <v>87</v>
      </c>
      <c r="D36" s="5" t="s">
        <v>24</v>
      </c>
      <c r="E36" s="6" t="s">
        <v>12</v>
      </c>
      <c r="F36" s="6" t="s">
        <v>25</v>
      </c>
      <c r="G36" s="5" t="str">
        <f t="shared" si="4"/>
        <v>ка</v>
      </c>
      <c r="H36" s="5"/>
    </row>
    <row r="37">
      <c r="A37" s="4">
        <v>7.0</v>
      </c>
      <c r="B37" s="4">
        <v>7.0</v>
      </c>
      <c r="C37" s="5" t="s">
        <v>88</v>
      </c>
      <c r="D37" s="5" t="s">
        <v>89</v>
      </c>
      <c r="E37" s="6" t="s">
        <v>15</v>
      </c>
      <c r="F37" s="6" t="s">
        <v>74</v>
      </c>
      <c r="G37" s="5" t="str">
        <f>RIGHT(F37, 3)</f>
        <v>ице</v>
      </c>
      <c r="H37" s="5"/>
    </row>
    <row r="38">
      <c r="A38" s="4">
        <v>6.0</v>
      </c>
      <c r="B38" s="4">
        <v>6.0</v>
      </c>
      <c r="C38" s="5" t="s">
        <v>90</v>
      </c>
      <c r="D38" s="5" t="s">
        <v>91</v>
      </c>
      <c r="E38" s="6" t="s">
        <v>27</v>
      </c>
      <c r="F38" s="6" t="s">
        <v>92</v>
      </c>
      <c r="G38" s="5" t="str">
        <f t="shared" ref="G38:G53" si="5">RIGHT(F38, 2)</f>
        <v>ка</v>
      </c>
      <c r="H38" s="5"/>
    </row>
    <row r="39">
      <c r="A39" s="4">
        <v>6.0</v>
      </c>
      <c r="B39" s="4">
        <v>6.0</v>
      </c>
      <c r="C39" s="5" t="s">
        <v>93</v>
      </c>
      <c r="D39" s="5" t="s">
        <v>46</v>
      </c>
      <c r="E39" s="6" t="s">
        <v>27</v>
      </c>
      <c r="F39" s="6" t="s">
        <v>47</v>
      </c>
      <c r="G39" s="5" t="str">
        <f t="shared" si="5"/>
        <v>ек</v>
      </c>
      <c r="H39" s="5"/>
    </row>
    <row r="40">
      <c r="A40" s="4">
        <v>6.0</v>
      </c>
      <c r="B40" s="4">
        <v>6.0</v>
      </c>
      <c r="C40" s="5" t="s">
        <v>94</v>
      </c>
      <c r="D40" s="5" t="s">
        <v>46</v>
      </c>
      <c r="E40" s="6" t="s">
        <v>27</v>
      </c>
      <c r="F40" s="6" t="s">
        <v>47</v>
      </c>
      <c r="G40" s="5" t="str">
        <f t="shared" si="5"/>
        <v>ек</v>
      </c>
      <c r="H40" s="5"/>
    </row>
    <row r="41">
      <c r="A41" s="4">
        <v>6.0</v>
      </c>
      <c r="B41" s="4">
        <v>6.0</v>
      </c>
      <c r="C41" s="5" t="s">
        <v>95</v>
      </c>
      <c r="D41" s="5" t="s">
        <v>44</v>
      </c>
      <c r="E41" s="6" t="s">
        <v>27</v>
      </c>
      <c r="F41" s="6" t="s">
        <v>45</v>
      </c>
      <c r="G41" s="5" t="str">
        <f t="shared" si="5"/>
        <v>ка</v>
      </c>
      <c r="H41" s="5"/>
    </row>
    <row r="42">
      <c r="A42" s="4">
        <v>6.0</v>
      </c>
      <c r="B42" s="4">
        <v>6.0</v>
      </c>
      <c r="C42" s="5" t="s">
        <v>96</v>
      </c>
      <c r="D42" s="5" t="s">
        <v>97</v>
      </c>
      <c r="E42" s="6" t="s">
        <v>98</v>
      </c>
      <c r="F42" s="6" t="s">
        <v>10</v>
      </c>
      <c r="G42" s="5" t="str">
        <f t="shared" si="5"/>
        <v>ек</v>
      </c>
      <c r="H42" s="5"/>
    </row>
    <row r="43">
      <c r="A43" s="4">
        <v>1.0</v>
      </c>
      <c r="B43" s="4">
        <v>6.0</v>
      </c>
      <c r="C43" s="5" t="s">
        <v>99</v>
      </c>
      <c r="D43" s="5" t="s">
        <v>99</v>
      </c>
      <c r="E43" s="6" t="s">
        <v>54</v>
      </c>
      <c r="F43" s="6" t="s">
        <v>22</v>
      </c>
      <c r="G43" s="5" t="str">
        <f t="shared" si="5"/>
        <v>ик</v>
      </c>
      <c r="H43" s="5"/>
    </row>
    <row r="44">
      <c r="A44" s="4">
        <v>6.0</v>
      </c>
      <c r="B44" s="4">
        <v>6.0</v>
      </c>
      <c r="C44" s="5" t="s">
        <v>100</v>
      </c>
      <c r="D44" s="5" t="s">
        <v>24</v>
      </c>
      <c r="E44" s="6" t="s">
        <v>12</v>
      </c>
      <c r="F44" s="6" t="s">
        <v>25</v>
      </c>
      <c r="G44" s="5" t="str">
        <f t="shared" si="5"/>
        <v>ка</v>
      </c>
      <c r="H44" s="5"/>
    </row>
    <row r="45">
      <c r="A45" s="4">
        <v>6.0</v>
      </c>
      <c r="B45" s="4">
        <v>6.0</v>
      </c>
      <c r="C45" s="5" t="s">
        <v>101</v>
      </c>
      <c r="D45" s="5" t="s">
        <v>102</v>
      </c>
      <c r="E45" s="6" t="s">
        <v>15</v>
      </c>
      <c r="F45" s="6" t="s">
        <v>103</v>
      </c>
      <c r="G45" s="5" t="str">
        <f t="shared" si="5"/>
        <v>ка</v>
      </c>
      <c r="H45" s="5"/>
    </row>
    <row r="46">
      <c r="A46" s="4">
        <v>6.0</v>
      </c>
      <c r="B46" s="4">
        <v>6.0</v>
      </c>
      <c r="C46" s="5" t="s">
        <v>78</v>
      </c>
      <c r="D46" s="5" t="s">
        <v>78</v>
      </c>
      <c r="E46" s="6" t="s">
        <v>15</v>
      </c>
      <c r="F46" s="6" t="s">
        <v>79</v>
      </c>
      <c r="G46" s="5" t="str">
        <f t="shared" si="5"/>
        <v>ок</v>
      </c>
      <c r="H46" s="5"/>
    </row>
    <row r="47">
      <c r="A47" s="4">
        <v>4.0</v>
      </c>
      <c r="B47" s="4">
        <v>6.0</v>
      </c>
      <c r="C47" s="5" t="s">
        <v>104</v>
      </c>
      <c r="D47" s="5" t="s">
        <v>21</v>
      </c>
      <c r="E47" s="6" t="s">
        <v>15</v>
      </c>
      <c r="F47" s="6" t="s">
        <v>22</v>
      </c>
      <c r="G47" s="5" t="str">
        <f t="shared" si="5"/>
        <v>ик</v>
      </c>
      <c r="H47" s="5"/>
    </row>
    <row r="48">
      <c r="A48" s="4">
        <v>4.0</v>
      </c>
      <c r="B48" s="4">
        <v>6.0</v>
      </c>
      <c r="C48" s="5" t="s">
        <v>105</v>
      </c>
      <c r="D48" s="5" t="s">
        <v>106</v>
      </c>
      <c r="E48" s="6" t="s">
        <v>57</v>
      </c>
      <c r="F48" s="6" t="s">
        <v>20</v>
      </c>
      <c r="G48" s="5" t="str">
        <f t="shared" si="5"/>
        <v>ок</v>
      </c>
      <c r="H48" s="5"/>
    </row>
    <row r="49">
      <c r="A49" s="4">
        <v>5.0</v>
      </c>
      <c r="B49" s="4">
        <v>6.0</v>
      </c>
      <c r="C49" s="5" t="s">
        <v>107</v>
      </c>
      <c r="D49" s="5" t="s">
        <v>18</v>
      </c>
      <c r="E49" s="6" t="s">
        <v>19</v>
      </c>
      <c r="F49" s="6" t="s">
        <v>20</v>
      </c>
      <c r="G49" s="5" t="str">
        <f t="shared" si="5"/>
        <v>ок</v>
      </c>
      <c r="H49" s="5"/>
    </row>
    <row r="50">
      <c r="A50" s="4">
        <v>5.0</v>
      </c>
      <c r="B50" s="4">
        <v>5.0</v>
      </c>
      <c r="C50" s="5" t="s">
        <v>108</v>
      </c>
      <c r="D50" s="5" t="s">
        <v>44</v>
      </c>
      <c r="E50" s="6" t="s">
        <v>27</v>
      </c>
      <c r="F50" s="6" t="s">
        <v>45</v>
      </c>
      <c r="G50" s="5" t="str">
        <f t="shared" si="5"/>
        <v>ка</v>
      </c>
      <c r="H50" s="5"/>
    </row>
    <row r="51">
      <c r="A51" s="4">
        <v>5.0</v>
      </c>
      <c r="B51" s="4">
        <v>5.0</v>
      </c>
      <c r="C51" s="5" t="s">
        <v>109</v>
      </c>
      <c r="D51" s="5" t="s">
        <v>110</v>
      </c>
      <c r="E51" s="6" t="s">
        <v>27</v>
      </c>
      <c r="F51" s="6" t="s">
        <v>111</v>
      </c>
      <c r="G51" s="5" t="str">
        <f t="shared" si="5"/>
        <v>ка</v>
      </c>
      <c r="H51" s="5"/>
    </row>
    <row r="52">
      <c r="A52" s="4">
        <v>2.0</v>
      </c>
      <c r="B52" s="4">
        <v>5.0</v>
      </c>
      <c r="C52" s="5" t="s">
        <v>112</v>
      </c>
      <c r="D52" s="5" t="s">
        <v>112</v>
      </c>
      <c r="E52" s="6" t="s">
        <v>27</v>
      </c>
      <c r="F52" s="6" t="s">
        <v>113</v>
      </c>
      <c r="G52" s="5" t="str">
        <f t="shared" si="5"/>
        <v>ик</v>
      </c>
      <c r="H52" s="5"/>
    </row>
    <row r="53">
      <c r="A53" s="4">
        <v>5.0</v>
      </c>
      <c r="B53" s="4">
        <v>5.0</v>
      </c>
      <c r="C53" s="5" t="s">
        <v>114</v>
      </c>
      <c r="D53" s="5" t="s">
        <v>26</v>
      </c>
      <c r="E53" s="6" t="s">
        <v>27</v>
      </c>
      <c r="F53" s="6" t="s">
        <v>10</v>
      </c>
      <c r="G53" s="5" t="str">
        <f t="shared" si="5"/>
        <v>ек</v>
      </c>
      <c r="H53" s="5"/>
    </row>
    <row r="54">
      <c r="A54" s="4">
        <v>4.0</v>
      </c>
      <c r="B54" s="4">
        <v>5.0</v>
      </c>
      <c r="C54" s="5" t="s">
        <v>115</v>
      </c>
      <c r="D54" s="5" t="s">
        <v>116</v>
      </c>
      <c r="E54" s="6" t="s">
        <v>27</v>
      </c>
      <c r="F54" s="6" t="s">
        <v>117</v>
      </c>
      <c r="G54" s="5" t="str">
        <f>RIGHT(F54, 4)</f>
        <v>очка</v>
      </c>
      <c r="H54" s="5"/>
    </row>
    <row r="55">
      <c r="A55" s="4">
        <v>4.0</v>
      </c>
      <c r="B55" s="4">
        <v>5.0</v>
      </c>
      <c r="C55" s="5" t="s">
        <v>118</v>
      </c>
      <c r="D55" s="5" t="s">
        <v>118</v>
      </c>
      <c r="E55" s="6" t="s">
        <v>30</v>
      </c>
      <c r="F55" s="6" t="s">
        <v>47</v>
      </c>
      <c r="G55" s="5" t="str">
        <f t="shared" ref="G55:G76" si="6">RIGHT(F55, 2)</f>
        <v>ек</v>
      </c>
      <c r="H55" s="5"/>
    </row>
    <row r="56">
      <c r="A56" s="4">
        <v>5.0</v>
      </c>
      <c r="B56" s="4">
        <v>5.0</v>
      </c>
      <c r="C56" s="5" t="s">
        <v>119</v>
      </c>
      <c r="D56" s="5" t="s">
        <v>120</v>
      </c>
      <c r="E56" s="6" t="s">
        <v>30</v>
      </c>
      <c r="F56" s="6" t="s">
        <v>10</v>
      </c>
      <c r="G56" s="5" t="str">
        <f t="shared" si="6"/>
        <v>ек</v>
      </c>
      <c r="H56" s="5"/>
    </row>
    <row r="57">
      <c r="A57" s="4">
        <v>3.0</v>
      </c>
      <c r="B57" s="4">
        <v>5.0</v>
      </c>
      <c r="C57" s="5" t="s">
        <v>121</v>
      </c>
      <c r="D57" s="5" t="s">
        <v>122</v>
      </c>
      <c r="E57" s="6" t="s">
        <v>98</v>
      </c>
      <c r="F57" s="6" t="s">
        <v>51</v>
      </c>
      <c r="G57" s="5" t="str">
        <f t="shared" si="6"/>
        <v>ка</v>
      </c>
      <c r="H57" s="5"/>
    </row>
    <row r="58">
      <c r="A58" s="4">
        <v>4.0</v>
      </c>
      <c r="B58" s="4">
        <v>5.0</v>
      </c>
      <c r="C58" s="5" t="s">
        <v>123</v>
      </c>
      <c r="D58" s="5" t="s">
        <v>123</v>
      </c>
      <c r="E58" s="6" t="s">
        <v>98</v>
      </c>
      <c r="F58" s="6" t="s">
        <v>124</v>
      </c>
      <c r="G58" s="5" t="str">
        <f t="shared" si="6"/>
        <v>ек</v>
      </c>
      <c r="H58" s="5"/>
    </row>
    <row r="59">
      <c r="A59" s="4">
        <v>5.0</v>
      </c>
      <c r="B59" s="4">
        <v>5.0</v>
      </c>
      <c r="C59" s="5" t="s">
        <v>125</v>
      </c>
      <c r="D59" s="5" t="s">
        <v>125</v>
      </c>
      <c r="E59" s="6" t="s">
        <v>98</v>
      </c>
      <c r="F59" s="6" t="s">
        <v>126</v>
      </c>
      <c r="G59" s="5" t="str">
        <f t="shared" si="6"/>
        <v>ик</v>
      </c>
      <c r="H59" s="5"/>
    </row>
    <row r="60">
      <c r="A60" s="4">
        <v>4.0</v>
      </c>
      <c r="B60" s="4">
        <v>5.0</v>
      </c>
      <c r="C60" s="5" t="s">
        <v>97</v>
      </c>
      <c r="D60" s="5" t="s">
        <v>97</v>
      </c>
      <c r="E60" s="6" t="s">
        <v>98</v>
      </c>
      <c r="F60" s="6" t="s">
        <v>10</v>
      </c>
      <c r="G60" s="5" t="str">
        <f t="shared" si="6"/>
        <v>ек</v>
      </c>
      <c r="H60" s="5"/>
    </row>
    <row r="61">
      <c r="A61" s="4">
        <v>4.0</v>
      </c>
      <c r="B61" s="4">
        <v>5.0</v>
      </c>
      <c r="C61" s="5" t="s">
        <v>127</v>
      </c>
      <c r="D61" s="5" t="s">
        <v>122</v>
      </c>
      <c r="E61" s="6" t="s">
        <v>98</v>
      </c>
      <c r="F61" s="6" t="s">
        <v>51</v>
      </c>
      <c r="G61" s="5" t="str">
        <f t="shared" si="6"/>
        <v>ка</v>
      </c>
      <c r="H61" s="5"/>
    </row>
    <row r="62">
      <c r="A62" s="4">
        <v>2.0</v>
      </c>
      <c r="B62" s="4">
        <v>5.0</v>
      </c>
      <c r="C62" s="5" t="s">
        <v>128</v>
      </c>
      <c r="D62" s="5" t="s">
        <v>99</v>
      </c>
      <c r="E62" s="6" t="s">
        <v>54</v>
      </c>
      <c r="F62" s="6" t="s">
        <v>22</v>
      </c>
      <c r="G62" s="5" t="str">
        <f t="shared" si="6"/>
        <v>ик</v>
      </c>
      <c r="H62" s="5"/>
    </row>
    <row r="63">
      <c r="A63" s="4">
        <v>5.0</v>
      </c>
      <c r="B63" s="4">
        <v>5.0</v>
      </c>
      <c r="C63" s="5" t="s">
        <v>129</v>
      </c>
      <c r="D63" s="5" t="s">
        <v>129</v>
      </c>
      <c r="E63" s="6" t="s">
        <v>12</v>
      </c>
      <c r="F63" s="6" t="s">
        <v>66</v>
      </c>
      <c r="G63" s="5" t="str">
        <f t="shared" si="6"/>
        <v>ек</v>
      </c>
      <c r="H63" s="5"/>
    </row>
    <row r="64">
      <c r="A64" s="4">
        <v>5.0</v>
      </c>
      <c r="B64" s="4">
        <v>5.0</v>
      </c>
      <c r="C64" s="5" t="s">
        <v>130</v>
      </c>
      <c r="D64" s="5" t="s">
        <v>41</v>
      </c>
      <c r="E64" s="6" t="s">
        <v>15</v>
      </c>
      <c r="F64" s="6" t="s">
        <v>20</v>
      </c>
      <c r="G64" s="5" t="str">
        <f t="shared" si="6"/>
        <v>ок</v>
      </c>
      <c r="H64" s="5"/>
    </row>
    <row r="65">
      <c r="A65" s="4">
        <v>4.0</v>
      </c>
      <c r="B65" s="4">
        <v>5.0</v>
      </c>
      <c r="C65" s="5" t="s">
        <v>131</v>
      </c>
      <c r="D65" s="5" t="s">
        <v>21</v>
      </c>
      <c r="E65" s="6" t="s">
        <v>15</v>
      </c>
      <c r="F65" s="6" t="s">
        <v>22</v>
      </c>
      <c r="G65" s="5" t="str">
        <f t="shared" si="6"/>
        <v>ик</v>
      </c>
      <c r="H65" s="5"/>
    </row>
    <row r="66">
      <c r="A66" s="4">
        <v>4.0</v>
      </c>
      <c r="B66" s="4">
        <v>5.0</v>
      </c>
      <c r="C66" s="5" t="s">
        <v>132</v>
      </c>
      <c r="D66" s="5" t="s">
        <v>133</v>
      </c>
      <c r="E66" s="6" t="s">
        <v>15</v>
      </c>
      <c r="F66" s="6" t="s">
        <v>134</v>
      </c>
      <c r="G66" s="5" t="str">
        <f t="shared" si="6"/>
        <v>ка</v>
      </c>
      <c r="H66" s="5"/>
    </row>
    <row r="67">
      <c r="A67" s="4">
        <v>5.0</v>
      </c>
      <c r="B67" s="4">
        <v>5.0</v>
      </c>
      <c r="C67" s="5" t="s">
        <v>135</v>
      </c>
      <c r="D67" s="5" t="s">
        <v>135</v>
      </c>
      <c r="E67" s="6" t="s">
        <v>57</v>
      </c>
      <c r="F67" s="6" t="s">
        <v>124</v>
      </c>
      <c r="G67" s="5" t="str">
        <f t="shared" si="6"/>
        <v>ек</v>
      </c>
      <c r="H67" s="5"/>
    </row>
    <row r="68">
      <c r="A68" s="4">
        <v>5.0</v>
      </c>
      <c r="B68" s="4">
        <v>5.0</v>
      </c>
      <c r="C68" s="5" t="s">
        <v>136</v>
      </c>
      <c r="D68" s="5" t="s">
        <v>137</v>
      </c>
      <c r="E68" s="6" t="s">
        <v>19</v>
      </c>
      <c r="F68" s="6" t="s">
        <v>25</v>
      </c>
      <c r="G68" s="5" t="str">
        <f t="shared" si="6"/>
        <v>ка</v>
      </c>
      <c r="H68" s="5"/>
    </row>
    <row r="69">
      <c r="A69" s="4">
        <v>4.0</v>
      </c>
      <c r="B69" s="4">
        <v>5.0</v>
      </c>
      <c r="C69" s="5" t="s">
        <v>138</v>
      </c>
      <c r="D69" s="5" t="s">
        <v>139</v>
      </c>
      <c r="E69" s="6" t="s">
        <v>19</v>
      </c>
      <c r="F69" s="6" t="s">
        <v>140</v>
      </c>
      <c r="G69" s="5" t="str">
        <f t="shared" si="6"/>
        <v>ка</v>
      </c>
      <c r="H69" s="5"/>
    </row>
    <row r="70">
      <c r="A70" s="4">
        <v>4.0</v>
      </c>
      <c r="B70" s="4">
        <v>4.0</v>
      </c>
      <c r="C70" s="5" t="s">
        <v>141</v>
      </c>
      <c r="D70" s="5" t="s">
        <v>8</v>
      </c>
      <c r="E70" s="6" t="s">
        <v>9</v>
      </c>
      <c r="F70" s="6" t="s">
        <v>10</v>
      </c>
      <c r="G70" s="5" t="str">
        <f t="shared" si="6"/>
        <v>ек</v>
      </c>
      <c r="H70" s="5"/>
    </row>
    <row r="71">
      <c r="A71" s="4">
        <v>2.0</v>
      </c>
      <c r="B71" s="4">
        <v>4.0</v>
      </c>
      <c r="C71" s="5" t="s">
        <v>142</v>
      </c>
      <c r="D71" s="5" t="s">
        <v>8</v>
      </c>
      <c r="E71" s="6" t="s">
        <v>9</v>
      </c>
      <c r="F71" s="6" t="s">
        <v>10</v>
      </c>
      <c r="G71" s="5" t="str">
        <f t="shared" si="6"/>
        <v>ек</v>
      </c>
      <c r="H71" s="5"/>
    </row>
    <row r="72">
      <c r="A72" s="4">
        <v>4.0</v>
      </c>
      <c r="B72" s="4">
        <v>4.0</v>
      </c>
      <c r="C72" s="5" t="s">
        <v>143</v>
      </c>
      <c r="D72" s="5" t="s">
        <v>144</v>
      </c>
      <c r="E72" s="6" t="s">
        <v>27</v>
      </c>
      <c r="F72" s="6" t="s">
        <v>51</v>
      </c>
      <c r="G72" s="5" t="str">
        <f t="shared" si="6"/>
        <v>ка</v>
      </c>
      <c r="H72" s="5"/>
    </row>
    <row r="73">
      <c r="A73" s="4">
        <v>3.0</v>
      </c>
      <c r="B73" s="4">
        <v>4.0</v>
      </c>
      <c r="C73" s="5" t="s">
        <v>145</v>
      </c>
      <c r="D73" s="5" t="s">
        <v>145</v>
      </c>
      <c r="E73" s="6" t="s">
        <v>27</v>
      </c>
      <c r="F73" s="6" t="s">
        <v>146</v>
      </c>
      <c r="G73" s="5" t="str">
        <f t="shared" si="6"/>
        <v>ок</v>
      </c>
      <c r="H73" s="5"/>
    </row>
    <row r="74">
      <c r="A74" s="4">
        <v>4.0</v>
      </c>
      <c r="B74" s="4">
        <v>4.0</v>
      </c>
      <c r="C74" s="5" t="s">
        <v>147</v>
      </c>
      <c r="D74" s="5" t="s">
        <v>31</v>
      </c>
      <c r="E74" s="6" t="s">
        <v>27</v>
      </c>
      <c r="F74" s="6" t="s">
        <v>22</v>
      </c>
      <c r="G74" s="5" t="str">
        <f t="shared" si="6"/>
        <v>ик</v>
      </c>
      <c r="H74" s="5"/>
    </row>
    <row r="75">
      <c r="A75" s="4">
        <v>4.0</v>
      </c>
      <c r="B75" s="4">
        <v>4.0</v>
      </c>
      <c r="C75" s="5" t="s">
        <v>148</v>
      </c>
      <c r="D75" s="5" t="s">
        <v>44</v>
      </c>
      <c r="E75" s="6" t="s">
        <v>27</v>
      </c>
      <c r="F75" s="6" t="s">
        <v>45</v>
      </c>
      <c r="G75" s="5" t="str">
        <f t="shared" si="6"/>
        <v>ка</v>
      </c>
      <c r="H75" s="5"/>
    </row>
    <row r="76">
      <c r="A76" s="4">
        <v>4.0</v>
      </c>
      <c r="B76" s="4">
        <v>4.0</v>
      </c>
      <c r="C76" s="5" t="s">
        <v>149</v>
      </c>
      <c r="D76" s="5" t="s">
        <v>26</v>
      </c>
      <c r="E76" s="6" t="s">
        <v>27</v>
      </c>
      <c r="F76" s="6" t="s">
        <v>10</v>
      </c>
      <c r="G76" s="5" t="str">
        <f t="shared" si="6"/>
        <v>ек</v>
      </c>
      <c r="H76" s="5"/>
    </row>
    <row r="77">
      <c r="A77" s="4">
        <v>4.0</v>
      </c>
      <c r="B77" s="4">
        <v>4.0</v>
      </c>
      <c r="C77" s="5" t="s">
        <v>150</v>
      </c>
      <c r="D77" s="5" t="s">
        <v>151</v>
      </c>
      <c r="E77" s="6" t="s">
        <v>30</v>
      </c>
      <c r="F77" s="6" t="s">
        <v>74</v>
      </c>
      <c r="G77" s="5" t="str">
        <f>RIGHT(F77, 3)</f>
        <v>ице</v>
      </c>
      <c r="H77" s="5"/>
    </row>
    <row r="78">
      <c r="A78" s="4">
        <v>4.0</v>
      </c>
      <c r="B78" s="4">
        <v>4.0</v>
      </c>
      <c r="C78" s="5" t="s">
        <v>152</v>
      </c>
      <c r="D78" s="5" t="s">
        <v>152</v>
      </c>
      <c r="E78" s="6" t="s">
        <v>98</v>
      </c>
      <c r="F78" s="6" t="s">
        <v>22</v>
      </c>
      <c r="G78" s="5" t="str">
        <f t="shared" ref="G78:G81" si="7">RIGHT(F78, 2)</f>
        <v>ик</v>
      </c>
      <c r="H78" s="5"/>
    </row>
    <row r="79">
      <c r="A79" s="4">
        <v>4.0</v>
      </c>
      <c r="B79" s="4">
        <v>4.0</v>
      </c>
      <c r="C79" s="5" t="s">
        <v>153</v>
      </c>
      <c r="D79" s="5" t="s">
        <v>154</v>
      </c>
      <c r="E79" s="6" t="s">
        <v>50</v>
      </c>
      <c r="F79" s="6" t="s">
        <v>155</v>
      </c>
      <c r="G79" s="5" t="str">
        <f t="shared" si="7"/>
        <v>ка</v>
      </c>
      <c r="H79" s="5"/>
    </row>
    <row r="80">
      <c r="A80" s="4">
        <v>4.0</v>
      </c>
      <c r="B80" s="4">
        <v>4.0</v>
      </c>
      <c r="C80" s="5" t="s">
        <v>156</v>
      </c>
      <c r="D80" s="5" t="s">
        <v>156</v>
      </c>
      <c r="E80" s="6" t="s">
        <v>54</v>
      </c>
      <c r="F80" s="6" t="s">
        <v>47</v>
      </c>
      <c r="G80" s="5" t="str">
        <f t="shared" si="7"/>
        <v>ек</v>
      </c>
      <c r="H80" s="5"/>
    </row>
    <row r="81">
      <c r="A81" s="4">
        <v>3.0</v>
      </c>
      <c r="B81" s="4">
        <v>4.0</v>
      </c>
      <c r="C81" s="5" t="s">
        <v>157</v>
      </c>
      <c r="D81" s="5" t="s">
        <v>158</v>
      </c>
      <c r="E81" s="6" t="s">
        <v>54</v>
      </c>
      <c r="F81" s="6" t="s">
        <v>159</v>
      </c>
      <c r="G81" s="5" t="str">
        <f t="shared" si="7"/>
        <v>ик</v>
      </c>
      <c r="H81" s="5"/>
    </row>
    <row r="82">
      <c r="A82" s="4">
        <v>4.0</v>
      </c>
      <c r="B82" s="4">
        <v>4.0</v>
      </c>
      <c r="C82" s="5" t="s">
        <v>160</v>
      </c>
      <c r="D82" s="5" t="s">
        <v>161</v>
      </c>
      <c r="E82" s="6" t="s">
        <v>54</v>
      </c>
      <c r="F82" s="6" t="s">
        <v>162</v>
      </c>
      <c r="G82" s="5" t="str">
        <f>RIGHT(F82, 4)</f>
        <v>ечка</v>
      </c>
      <c r="H82" s="5"/>
    </row>
    <row r="83">
      <c r="A83" s="4">
        <v>3.0</v>
      </c>
      <c r="B83" s="4">
        <v>4.0</v>
      </c>
      <c r="C83" s="5" t="s">
        <v>163</v>
      </c>
      <c r="D83" s="5" t="s">
        <v>164</v>
      </c>
      <c r="E83" s="6" t="s">
        <v>165</v>
      </c>
      <c r="F83" s="6" t="s">
        <v>69</v>
      </c>
      <c r="G83" s="5" t="str">
        <f>RIGHT(F83, 2)</f>
        <v>ка</v>
      </c>
      <c r="H83" s="5"/>
    </row>
    <row r="84">
      <c r="A84" s="4">
        <v>3.0</v>
      </c>
      <c r="B84" s="4">
        <v>4.0</v>
      </c>
      <c r="C84" s="5" t="s">
        <v>166</v>
      </c>
      <c r="D84" s="5" t="s">
        <v>167</v>
      </c>
      <c r="E84" s="6" t="s">
        <v>168</v>
      </c>
      <c r="F84" s="6" t="s">
        <v>74</v>
      </c>
      <c r="G84" s="5" t="str">
        <f>RIGHT(F84, 3)</f>
        <v>ице</v>
      </c>
      <c r="H84" s="5"/>
    </row>
    <row r="85">
      <c r="A85" s="4">
        <v>4.0</v>
      </c>
      <c r="B85" s="4">
        <v>4.0</v>
      </c>
      <c r="C85" s="5" t="s">
        <v>169</v>
      </c>
      <c r="D85" s="5" t="s">
        <v>170</v>
      </c>
      <c r="E85" s="6" t="s">
        <v>65</v>
      </c>
      <c r="F85" s="6" t="s">
        <v>92</v>
      </c>
      <c r="G85" s="5" t="str">
        <f t="shared" ref="G85:G97" si="8">RIGHT(F85, 2)</f>
        <v>ка</v>
      </c>
      <c r="H85" s="5"/>
    </row>
    <row r="86">
      <c r="A86" s="4">
        <v>4.0</v>
      </c>
      <c r="B86" s="4">
        <v>4.0</v>
      </c>
      <c r="C86" s="5" t="s">
        <v>171</v>
      </c>
      <c r="D86" s="5" t="s">
        <v>172</v>
      </c>
      <c r="E86" s="6" t="s">
        <v>173</v>
      </c>
      <c r="F86" s="6" t="s">
        <v>20</v>
      </c>
      <c r="G86" s="5" t="str">
        <f t="shared" si="8"/>
        <v>ок</v>
      </c>
      <c r="H86" s="5"/>
    </row>
    <row r="87">
      <c r="A87" s="4">
        <v>4.0</v>
      </c>
      <c r="B87" s="4">
        <v>4.0</v>
      </c>
      <c r="C87" s="5" t="s">
        <v>174</v>
      </c>
      <c r="D87" s="5" t="s">
        <v>175</v>
      </c>
      <c r="E87" s="6" t="s">
        <v>12</v>
      </c>
      <c r="F87" s="6" t="s">
        <v>176</v>
      </c>
      <c r="G87" s="5" t="str">
        <f t="shared" si="8"/>
        <v>ик</v>
      </c>
      <c r="H87" s="5"/>
    </row>
    <row r="88">
      <c r="A88" s="4">
        <v>4.0</v>
      </c>
      <c r="B88" s="4">
        <v>4.0</v>
      </c>
      <c r="C88" s="5" t="s">
        <v>177</v>
      </c>
      <c r="D88" s="5" t="s">
        <v>11</v>
      </c>
      <c r="E88" s="6" t="s">
        <v>12</v>
      </c>
      <c r="F88" s="6" t="s">
        <v>13</v>
      </c>
      <c r="G88" s="5" t="str">
        <f t="shared" si="8"/>
        <v>ок</v>
      </c>
      <c r="H88" s="5"/>
    </row>
    <row r="89">
      <c r="A89" s="4">
        <v>4.0</v>
      </c>
      <c r="B89" s="4">
        <v>4.0</v>
      </c>
      <c r="C89" s="5" t="s">
        <v>178</v>
      </c>
      <c r="D89" s="5" t="s">
        <v>21</v>
      </c>
      <c r="E89" s="6" t="s">
        <v>15</v>
      </c>
      <c r="F89" s="6" t="s">
        <v>22</v>
      </c>
      <c r="G89" s="5" t="str">
        <f t="shared" si="8"/>
        <v>ик</v>
      </c>
      <c r="H89" s="5"/>
    </row>
    <row r="90">
      <c r="A90" s="4">
        <v>4.0</v>
      </c>
      <c r="B90" s="4">
        <v>4.0</v>
      </c>
      <c r="C90" s="5" t="s">
        <v>179</v>
      </c>
      <c r="D90" s="5" t="s">
        <v>179</v>
      </c>
      <c r="E90" s="6" t="s">
        <v>15</v>
      </c>
      <c r="F90" s="6" t="s">
        <v>13</v>
      </c>
      <c r="G90" s="5" t="str">
        <f t="shared" si="8"/>
        <v>ок</v>
      </c>
      <c r="H90" s="5"/>
    </row>
    <row r="91">
      <c r="A91" s="4">
        <v>4.0</v>
      </c>
      <c r="B91" s="4">
        <v>4.0</v>
      </c>
      <c r="C91" s="5" t="s">
        <v>180</v>
      </c>
      <c r="D91" s="5" t="s">
        <v>180</v>
      </c>
      <c r="E91" s="6" t="s">
        <v>15</v>
      </c>
      <c r="F91" s="6" t="s">
        <v>66</v>
      </c>
      <c r="G91" s="5" t="str">
        <f t="shared" si="8"/>
        <v>ек</v>
      </c>
      <c r="H91" s="5"/>
    </row>
    <row r="92">
      <c r="A92" s="4">
        <v>4.0</v>
      </c>
      <c r="B92" s="4">
        <v>4.0</v>
      </c>
      <c r="C92" s="5" t="s">
        <v>181</v>
      </c>
      <c r="D92" s="5" t="s">
        <v>182</v>
      </c>
      <c r="E92" s="6" t="s">
        <v>15</v>
      </c>
      <c r="F92" s="6" t="s">
        <v>51</v>
      </c>
      <c r="G92" s="5" t="str">
        <f t="shared" si="8"/>
        <v>ка</v>
      </c>
      <c r="H92" s="5"/>
    </row>
    <row r="93">
      <c r="A93" s="4">
        <v>4.0</v>
      </c>
      <c r="B93" s="4">
        <v>4.0</v>
      </c>
      <c r="C93" s="5" t="s">
        <v>183</v>
      </c>
      <c r="D93" s="5" t="s">
        <v>68</v>
      </c>
      <c r="E93" s="6" t="s">
        <v>15</v>
      </c>
      <c r="F93" s="6" t="s">
        <v>69</v>
      </c>
      <c r="G93" s="5" t="str">
        <f t="shared" si="8"/>
        <v>ка</v>
      </c>
      <c r="H93" s="5"/>
    </row>
    <row r="94">
      <c r="A94" s="4">
        <v>4.0</v>
      </c>
      <c r="B94" s="4">
        <v>4.0</v>
      </c>
      <c r="C94" s="5" t="s">
        <v>184</v>
      </c>
      <c r="D94" s="5" t="s">
        <v>185</v>
      </c>
      <c r="E94" s="6" t="s">
        <v>57</v>
      </c>
      <c r="F94" s="6" t="s">
        <v>186</v>
      </c>
      <c r="G94" s="5" t="str">
        <f t="shared" si="8"/>
        <v>ка</v>
      </c>
      <c r="H94" s="5"/>
    </row>
    <row r="95">
      <c r="A95" s="4">
        <v>3.0</v>
      </c>
      <c r="B95" s="4">
        <v>4.0</v>
      </c>
      <c r="C95" s="5" t="s">
        <v>187</v>
      </c>
      <c r="D95" s="5" t="s">
        <v>187</v>
      </c>
      <c r="E95" s="6" t="s">
        <v>57</v>
      </c>
      <c r="F95" s="6" t="s">
        <v>188</v>
      </c>
      <c r="G95" s="5" t="str">
        <f t="shared" si="8"/>
        <v>ок</v>
      </c>
      <c r="H95" s="5"/>
    </row>
    <row r="96">
      <c r="A96" s="4">
        <v>4.0</v>
      </c>
      <c r="B96" s="4">
        <v>4.0</v>
      </c>
      <c r="C96" s="5" t="s">
        <v>189</v>
      </c>
      <c r="D96" s="5" t="s">
        <v>190</v>
      </c>
      <c r="E96" s="6" t="s">
        <v>57</v>
      </c>
      <c r="F96" s="6" t="s">
        <v>191</v>
      </c>
      <c r="G96" s="5" t="str">
        <f t="shared" si="8"/>
        <v>ка</v>
      </c>
      <c r="H96" s="5"/>
    </row>
    <row r="97">
      <c r="A97" s="4">
        <v>3.0</v>
      </c>
      <c r="B97" s="4">
        <v>4.0</v>
      </c>
      <c r="C97" s="5" t="s">
        <v>192</v>
      </c>
      <c r="D97" s="5" t="s">
        <v>193</v>
      </c>
      <c r="E97" s="6" t="s">
        <v>19</v>
      </c>
      <c r="F97" s="6" t="s">
        <v>194</v>
      </c>
      <c r="G97" s="5" t="str">
        <f t="shared" si="8"/>
        <v>ец</v>
      </c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4">
        <v>90.0</v>
      </c>
      <c r="B1" s="6" t="s">
        <v>10</v>
      </c>
      <c r="C1" s="7" t="str">
        <f t="shared" ref="C1:C96" si="1">RIGHT(B1,2)</f>
        <v>ек</v>
      </c>
    </row>
    <row r="2">
      <c r="A2" s="4">
        <v>17.0</v>
      </c>
      <c r="B2" s="6" t="s">
        <v>10</v>
      </c>
      <c r="C2" s="7" t="str">
        <f t="shared" si="1"/>
        <v>ек</v>
      </c>
    </row>
    <row r="3">
      <c r="A3" s="4">
        <v>14.0</v>
      </c>
      <c r="B3" s="6" t="s">
        <v>10</v>
      </c>
      <c r="C3" s="7" t="str">
        <f t="shared" si="1"/>
        <v>ек</v>
      </c>
    </row>
    <row r="4">
      <c r="A4" s="4">
        <v>10.0</v>
      </c>
      <c r="B4" s="6" t="s">
        <v>47</v>
      </c>
      <c r="C4" s="7" t="str">
        <f t="shared" si="1"/>
        <v>ек</v>
      </c>
    </row>
    <row r="5">
      <c r="A5" s="4">
        <v>9.0</v>
      </c>
      <c r="B5" s="6" t="s">
        <v>66</v>
      </c>
      <c r="C5" s="7" t="str">
        <f t="shared" si="1"/>
        <v>ек</v>
      </c>
    </row>
    <row r="6">
      <c r="A6" s="4">
        <v>9.0</v>
      </c>
      <c r="B6" s="6" t="s">
        <v>66</v>
      </c>
      <c r="C6" s="7" t="str">
        <f t="shared" si="1"/>
        <v>ек</v>
      </c>
    </row>
    <row r="7">
      <c r="A7" s="4">
        <v>7.0</v>
      </c>
      <c r="B7" s="6" t="s">
        <v>10</v>
      </c>
      <c r="C7" s="7" t="str">
        <f t="shared" si="1"/>
        <v>ек</v>
      </c>
    </row>
    <row r="8">
      <c r="A8" s="4">
        <v>6.0</v>
      </c>
      <c r="B8" s="6" t="s">
        <v>47</v>
      </c>
      <c r="C8" s="7" t="str">
        <f t="shared" si="1"/>
        <v>ек</v>
      </c>
    </row>
    <row r="9">
      <c r="A9" s="4">
        <v>6.0</v>
      </c>
      <c r="B9" s="6" t="s">
        <v>47</v>
      </c>
      <c r="C9" s="7" t="str">
        <f t="shared" si="1"/>
        <v>ек</v>
      </c>
    </row>
    <row r="10">
      <c r="A10" s="4">
        <v>6.0</v>
      </c>
      <c r="B10" s="6" t="s">
        <v>10</v>
      </c>
      <c r="C10" s="7" t="str">
        <f t="shared" si="1"/>
        <v>ек</v>
      </c>
    </row>
    <row r="11">
      <c r="A11" s="4">
        <v>5.0</v>
      </c>
      <c r="B11" s="6" t="s">
        <v>10</v>
      </c>
      <c r="C11" s="7" t="str">
        <f t="shared" si="1"/>
        <v>ек</v>
      </c>
    </row>
    <row r="12">
      <c r="A12" s="4">
        <v>5.0</v>
      </c>
      <c r="B12" s="6" t="s">
        <v>47</v>
      </c>
      <c r="C12" s="7" t="str">
        <f t="shared" si="1"/>
        <v>ек</v>
      </c>
    </row>
    <row r="13">
      <c r="A13" s="4">
        <v>5.0</v>
      </c>
      <c r="B13" s="6" t="s">
        <v>10</v>
      </c>
      <c r="C13" s="7" t="str">
        <f t="shared" si="1"/>
        <v>ек</v>
      </c>
    </row>
    <row r="14">
      <c r="A14" s="4">
        <v>5.0</v>
      </c>
      <c r="B14" s="6" t="s">
        <v>124</v>
      </c>
      <c r="C14" s="7" t="str">
        <f t="shared" si="1"/>
        <v>ек</v>
      </c>
    </row>
    <row r="15">
      <c r="A15" s="4">
        <v>5.0</v>
      </c>
      <c r="B15" s="6" t="s">
        <v>10</v>
      </c>
      <c r="C15" s="7" t="str">
        <f t="shared" si="1"/>
        <v>ек</v>
      </c>
    </row>
    <row r="16">
      <c r="A16" s="4">
        <v>5.0</v>
      </c>
      <c r="B16" s="6" t="s">
        <v>66</v>
      </c>
      <c r="C16" s="7" t="str">
        <f t="shared" si="1"/>
        <v>ек</v>
      </c>
    </row>
    <row r="17">
      <c r="A17" s="4">
        <v>5.0</v>
      </c>
      <c r="B17" s="6" t="s">
        <v>124</v>
      </c>
      <c r="C17" s="7" t="str">
        <f t="shared" si="1"/>
        <v>ек</v>
      </c>
    </row>
    <row r="18">
      <c r="A18" s="4">
        <v>4.0</v>
      </c>
      <c r="B18" s="6" t="s">
        <v>10</v>
      </c>
      <c r="C18" s="7" t="str">
        <f t="shared" si="1"/>
        <v>ек</v>
      </c>
    </row>
    <row r="19">
      <c r="A19" s="4">
        <v>4.0</v>
      </c>
      <c r="B19" s="6" t="s">
        <v>10</v>
      </c>
      <c r="C19" s="7" t="str">
        <f t="shared" si="1"/>
        <v>ек</v>
      </c>
    </row>
    <row r="20">
      <c r="A20" s="4">
        <v>4.0</v>
      </c>
      <c r="B20" s="6" t="s">
        <v>10</v>
      </c>
      <c r="C20" s="7" t="str">
        <f t="shared" si="1"/>
        <v>ек</v>
      </c>
    </row>
    <row r="21">
      <c r="A21" s="4">
        <v>4.0</v>
      </c>
      <c r="B21" s="6" t="s">
        <v>47</v>
      </c>
      <c r="C21" s="7" t="str">
        <f t="shared" si="1"/>
        <v>ек</v>
      </c>
    </row>
    <row r="22">
      <c r="A22" s="4">
        <v>4.0</v>
      </c>
      <c r="B22" s="6" t="s">
        <v>66</v>
      </c>
      <c r="C22" s="7" t="str">
        <f t="shared" si="1"/>
        <v>ек</v>
      </c>
    </row>
    <row r="23">
      <c r="A23" s="4">
        <v>4.0</v>
      </c>
      <c r="B23" s="6" t="s">
        <v>194</v>
      </c>
      <c r="C23" s="7" t="str">
        <f t="shared" si="1"/>
        <v>ец</v>
      </c>
    </row>
    <row r="24">
      <c r="A24" s="4">
        <v>28.0</v>
      </c>
      <c r="B24" s="6" t="s">
        <v>16</v>
      </c>
      <c r="C24" s="7" t="str">
        <f t="shared" si="1"/>
        <v>ик</v>
      </c>
    </row>
    <row r="25">
      <c r="A25" s="4">
        <v>19.0</v>
      </c>
      <c r="B25" s="6" t="s">
        <v>22</v>
      </c>
      <c r="C25" s="7" t="str">
        <f t="shared" si="1"/>
        <v>ик</v>
      </c>
    </row>
    <row r="26">
      <c r="A26" s="4">
        <v>15.0</v>
      </c>
      <c r="B26" s="6" t="s">
        <v>22</v>
      </c>
      <c r="C26" s="7" t="str">
        <f t="shared" si="1"/>
        <v>ик</v>
      </c>
    </row>
    <row r="27">
      <c r="A27" s="4">
        <v>13.0</v>
      </c>
      <c r="B27" s="6" t="s">
        <v>39</v>
      </c>
      <c r="C27" s="7" t="str">
        <f t="shared" si="1"/>
        <v>ик</v>
      </c>
    </row>
    <row r="28">
      <c r="A28" s="4">
        <v>11.0</v>
      </c>
      <c r="B28" s="6" t="s">
        <v>22</v>
      </c>
      <c r="C28" s="7" t="str">
        <f t="shared" si="1"/>
        <v>ик</v>
      </c>
    </row>
    <row r="29">
      <c r="A29" s="4">
        <v>9.0</v>
      </c>
      <c r="B29" s="6" t="s">
        <v>63</v>
      </c>
      <c r="C29" s="7" t="str">
        <f t="shared" si="1"/>
        <v>ик</v>
      </c>
    </row>
    <row r="30">
      <c r="A30" s="4">
        <v>8.0</v>
      </c>
      <c r="B30" s="6" t="s">
        <v>22</v>
      </c>
      <c r="C30" s="7" t="str">
        <f t="shared" si="1"/>
        <v>ик</v>
      </c>
    </row>
    <row r="31">
      <c r="A31" s="4">
        <v>6.0</v>
      </c>
      <c r="B31" s="6" t="s">
        <v>22</v>
      </c>
      <c r="C31" s="7" t="str">
        <f t="shared" si="1"/>
        <v>ик</v>
      </c>
    </row>
    <row r="32">
      <c r="A32" s="4">
        <v>6.0</v>
      </c>
      <c r="B32" s="6" t="s">
        <v>22</v>
      </c>
      <c r="C32" s="7" t="str">
        <f t="shared" si="1"/>
        <v>ик</v>
      </c>
    </row>
    <row r="33">
      <c r="A33" s="4">
        <v>5.0</v>
      </c>
      <c r="B33" s="6" t="s">
        <v>113</v>
      </c>
      <c r="C33" s="7" t="str">
        <f t="shared" si="1"/>
        <v>ик</v>
      </c>
    </row>
    <row r="34">
      <c r="A34" s="4">
        <v>5.0</v>
      </c>
      <c r="B34" s="6" t="s">
        <v>126</v>
      </c>
      <c r="C34" s="7" t="str">
        <f t="shared" si="1"/>
        <v>ик</v>
      </c>
    </row>
    <row r="35">
      <c r="A35" s="4">
        <v>5.0</v>
      </c>
      <c r="B35" s="6" t="s">
        <v>22</v>
      </c>
      <c r="C35" s="7" t="str">
        <f t="shared" si="1"/>
        <v>ик</v>
      </c>
    </row>
    <row r="36">
      <c r="A36" s="4">
        <v>5.0</v>
      </c>
      <c r="B36" s="6" t="s">
        <v>22</v>
      </c>
      <c r="C36" s="7" t="str">
        <f t="shared" si="1"/>
        <v>ик</v>
      </c>
    </row>
    <row r="37">
      <c r="A37" s="4">
        <v>4.0</v>
      </c>
      <c r="B37" s="6" t="s">
        <v>22</v>
      </c>
      <c r="C37" s="7" t="str">
        <f t="shared" si="1"/>
        <v>ик</v>
      </c>
    </row>
    <row r="38">
      <c r="A38" s="4">
        <v>4.0</v>
      </c>
      <c r="B38" s="6" t="s">
        <v>22</v>
      </c>
      <c r="C38" s="7" t="str">
        <f t="shared" si="1"/>
        <v>ик</v>
      </c>
    </row>
    <row r="39">
      <c r="A39" s="4">
        <v>4.0</v>
      </c>
      <c r="B39" s="6" t="s">
        <v>159</v>
      </c>
      <c r="C39" s="7" t="str">
        <f t="shared" si="1"/>
        <v>ик</v>
      </c>
    </row>
    <row r="40">
      <c r="A40" s="4">
        <v>4.0</v>
      </c>
      <c r="B40" s="6" t="s">
        <v>176</v>
      </c>
      <c r="C40" s="7" t="str">
        <f t="shared" si="1"/>
        <v>ик</v>
      </c>
    </row>
    <row r="41">
      <c r="A41" s="4">
        <v>4.0</v>
      </c>
      <c r="B41" s="6" t="s">
        <v>22</v>
      </c>
      <c r="C41" s="7" t="str">
        <f t="shared" si="1"/>
        <v>ик</v>
      </c>
    </row>
    <row r="42">
      <c r="A42" s="4">
        <v>18.0</v>
      </c>
      <c r="B42" s="6" t="s">
        <v>25</v>
      </c>
      <c r="C42" s="7" t="str">
        <f t="shared" si="1"/>
        <v>ка</v>
      </c>
    </row>
    <row r="43">
      <c r="A43" s="4">
        <v>13.0</v>
      </c>
      <c r="B43" s="6" t="s">
        <v>36</v>
      </c>
      <c r="C43" s="7" t="str">
        <f t="shared" si="1"/>
        <v>ка</v>
      </c>
    </row>
    <row r="44">
      <c r="A44" s="4">
        <v>10.0</v>
      </c>
      <c r="B44" s="6" t="s">
        <v>45</v>
      </c>
      <c r="C44" s="7" t="str">
        <f t="shared" si="1"/>
        <v>ка</v>
      </c>
    </row>
    <row r="45">
      <c r="A45" s="4">
        <v>10.0</v>
      </c>
      <c r="B45" s="6" t="s">
        <v>51</v>
      </c>
      <c r="C45" s="7" t="str">
        <f t="shared" si="1"/>
        <v>ка</v>
      </c>
    </row>
    <row r="46">
      <c r="A46" s="4">
        <v>10.0</v>
      </c>
      <c r="B46" s="6" t="s">
        <v>51</v>
      </c>
      <c r="C46" s="7" t="str">
        <f t="shared" si="1"/>
        <v>ка</v>
      </c>
    </row>
    <row r="47">
      <c r="A47" s="4">
        <v>10.0</v>
      </c>
      <c r="B47" s="6" t="s">
        <v>51</v>
      </c>
      <c r="C47" s="7" t="str">
        <f t="shared" si="1"/>
        <v>ка</v>
      </c>
    </row>
    <row r="48">
      <c r="A48" s="4">
        <v>10.0</v>
      </c>
      <c r="B48" s="6" t="s">
        <v>61</v>
      </c>
      <c r="C48" s="7" t="str">
        <f t="shared" si="1"/>
        <v>ка</v>
      </c>
    </row>
    <row r="49">
      <c r="A49" s="4">
        <v>9.0</v>
      </c>
      <c r="B49" s="6" t="s">
        <v>69</v>
      </c>
      <c r="C49" s="7" t="str">
        <f t="shared" si="1"/>
        <v>ка</v>
      </c>
    </row>
    <row r="50">
      <c r="A50" s="4">
        <v>7.0</v>
      </c>
      <c r="B50" s="6" t="s">
        <v>25</v>
      </c>
      <c r="C50" s="7" t="str">
        <f t="shared" si="1"/>
        <v>ка</v>
      </c>
    </row>
    <row r="51">
      <c r="A51" s="4">
        <v>7.0</v>
      </c>
      <c r="B51" s="6" t="s">
        <v>25</v>
      </c>
      <c r="C51" s="7" t="str">
        <f t="shared" si="1"/>
        <v>ка</v>
      </c>
    </row>
    <row r="52">
      <c r="A52" s="4">
        <v>6.0</v>
      </c>
      <c r="B52" s="6" t="s">
        <v>92</v>
      </c>
      <c r="C52" s="7" t="str">
        <f t="shared" si="1"/>
        <v>ка</v>
      </c>
    </row>
    <row r="53">
      <c r="A53" s="4">
        <v>6.0</v>
      </c>
      <c r="B53" s="6" t="s">
        <v>45</v>
      </c>
      <c r="C53" s="7" t="str">
        <f t="shared" si="1"/>
        <v>ка</v>
      </c>
    </row>
    <row r="54">
      <c r="A54" s="4">
        <v>6.0</v>
      </c>
      <c r="B54" s="6" t="s">
        <v>25</v>
      </c>
      <c r="C54" s="7" t="str">
        <f t="shared" si="1"/>
        <v>ка</v>
      </c>
    </row>
    <row r="55">
      <c r="A55" s="4">
        <v>6.0</v>
      </c>
      <c r="B55" s="6" t="s">
        <v>103</v>
      </c>
      <c r="C55" s="7" t="str">
        <f t="shared" si="1"/>
        <v>ка</v>
      </c>
    </row>
    <row r="56">
      <c r="A56" s="4">
        <v>5.0</v>
      </c>
      <c r="B56" s="6" t="s">
        <v>45</v>
      </c>
      <c r="C56" s="7" t="str">
        <f t="shared" si="1"/>
        <v>ка</v>
      </c>
    </row>
    <row r="57">
      <c r="A57" s="4">
        <v>5.0</v>
      </c>
      <c r="B57" s="6" t="s">
        <v>111</v>
      </c>
      <c r="C57" s="7" t="str">
        <f t="shared" si="1"/>
        <v>ка</v>
      </c>
    </row>
    <row r="58">
      <c r="A58" s="4">
        <v>5.0</v>
      </c>
      <c r="B58" s="6" t="s">
        <v>117</v>
      </c>
      <c r="C58" s="7" t="str">
        <f t="shared" si="1"/>
        <v>ка</v>
      </c>
    </row>
    <row r="59">
      <c r="A59" s="4">
        <v>5.0</v>
      </c>
      <c r="B59" s="6" t="s">
        <v>51</v>
      </c>
      <c r="C59" s="7" t="str">
        <f t="shared" si="1"/>
        <v>ка</v>
      </c>
    </row>
    <row r="60">
      <c r="A60" s="4">
        <v>5.0</v>
      </c>
      <c r="B60" s="6" t="s">
        <v>51</v>
      </c>
      <c r="C60" s="7" t="str">
        <f t="shared" si="1"/>
        <v>ка</v>
      </c>
    </row>
    <row r="61">
      <c r="A61" s="4">
        <v>5.0</v>
      </c>
      <c r="B61" s="6" t="s">
        <v>134</v>
      </c>
      <c r="C61" s="7" t="str">
        <f t="shared" si="1"/>
        <v>ка</v>
      </c>
    </row>
    <row r="62">
      <c r="A62" s="4">
        <v>5.0</v>
      </c>
      <c r="B62" s="6" t="s">
        <v>25</v>
      </c>
      <c r="C62" s="7" t="str">
        <f t="shared" si="1"/>
        <v>ка</v>
      </c>
    </row>
    <row r="63">
      <c r="A63" s="4">
        <v>5.0</v>
      </c>
      <c r="B63" s="6" t="s">
        <v>140</v>
      </c>
      <c r="C63" s="7" t="str">
        <f t="shared" si="1"/>
        <v>ка</v>
      </c>
    </row>
    <row r="64">
      <c r="A64" s="4">
        <v>4.0</v>
      </c>
      <c r="B64" s="6" t="s">
        <v>51</v>
      </c>
      <c r="C64" s="7" t="str">
        <f t="shared" si="1"/>
        <v>ка</v>
      </c>
    </row>
    <row r="65">
      <c r="A65" s="4">
        <v>4.0</v>
      </c>
      <c r="B65" s="6" t="s">
        <v>45</v>
      </c>
      <c r="C65" s="7" t="str">
        <f t="shared" si="1"/>
        <v>ка</v>
      </c>
    </row>
    <row r="66">
      <c r="A66" s="4">
        <v>4.0</v>
      </c>
      <c r="B66" s="6" t="s">
        <v>155</v>
      </c>
      <c r="C66" s="7" t="str">
        <f t="shared" si="1"/>
        <v>ка</v>
      </c>
    </row>
    <row r="67">
      <c r="A67" s="4">
        <v>4.0</v>
      </c>
      <c r="B67" s="6" t="s">
        <v>162</v>
      </c>
      <c r="C67" s="7" t="str">
        <f t="shared" si="1"/>
        <v>ка</v>
      </c>
    </row>
    <row r="68">
      <c r="A68" s="4">
        <v>4.0</v>
      </c>
      <c r="B68" s="6" t="s">
        <v>69</v>
      </c>
      <c r="C68" s="7" t="str">
        <f t="shared" si="1"/>
        <v>ка</v>
      </c>
    </row>
    <row r="69">
      <c r="A69" s="4">
        <v>4.0</v>
      </c>
      <c r="B69" s="6" t="s">
        <v>92</v>
      </c>
      <c r="C69" s="7" t="str">
        <f t="shared" si="1"/>
        <v>ка</v>
      </c>
    </row>
    <row r="70">
      <c r="A70" s="4">
        <v>4.0</v>
      </c>
      <c r="B70" s="6" t="s">
        <v>51</v>
      </c>
      <c r="C70" s="7" t="str">
        <f t="shared" si="1"/>
        <v>ка</v>
      </c>
    </row>
    <row r="71">
      <c r="A71" s="4">
        <v>4.0</v>
      </c>
      <c r="B71" s="6" t="s">
        <v>69</v>
      </c>
      <c r="C71" s="7" t="str">
        <f t="shared" si="1"/>
        <v>ка</v>
      </c>
    </row>
    <row r="72">
      <c r="A72" s="4">
        <v>4.0</v>
      </c>
      <c r="B72" s="6" t="s">
        <v>186</v>
      </c>
      <c r="C72" s="7" t="str">
        <f t="shared" si="1"/>
        <v>ка</v>
      </c>
    </row>
    <row r="73">
      <c r="A73" s="4">
        <v>4.0</v>
      </c>
      <c r="B73" s="6" t="s">
        <v>191</v>
      </c>
      <c r="C73" s="7" t="str">
        <f t="shared" si="1"/>
        <v>ка</v>
      </c>
    </row>
    <row r="74">
      <c r="A74" s="4">
        <v>7.0</v>
      </c>
      <c r="B74" s="6" t="s">
        <v>83</v>
      </c>
      <c r="C74" s="7" t="str">
        <f t="shared" si="1"/>
        <v>ко</v>
      </c>
    </row>
    <row r="75">
      <c r="A75" s="4">
        <v>65.0</v>
      </c>
      <c r="B75" s="6" t="s">
        <v>13</v>
      </c>
      <c r="C75" s="7" t="str">
        <f t="shared" si="1"/>
        <v>ок</v>
      </c>
    </row>
    <row r="76">
      <c r="A76" s="4">
        <v>20.0</v>
      </c>
      <c r="B76" s="6" t="s">
        <v>20</v>
      </c>
      <c r="C76" s="7" t="str">
        <f t="shared" si="1"/>
        <v>ок</v>
      </c>
    </row>
    <row r="77">
      <c r="A77" s="4">
        <v>16.0</v>
      </c>
      <c r="B77" s="6" t="s">
        <v>20</v>
      </c>
      <c r="C77" s="7" t="str">
        <f t="shared" si="1"/>
        <v>ок</v>
      </c>
    </row>
    <row r="78">
      <c r="A78" s="4">
        <v>14.0</v>
      </c>
      <c r="B78" s="6" t="s">
        <v>13</v>
      </c>
      <c r="C78" s="7" t="str">
        <f t="shared" si="1"/>
        <v>ок</v>
      </c>
    </row>
    <row r="79">
      <c r="A79" s="4">
        <v>12.0</v>
      </c>
      <c r="B79" s="6" t="s">
        <v>20</v>
      </c>
      <c r="C79" s="7" t="str">
        <f t="shared" si="1"/>
        <v>ок</v>
      </c>
    </row>
    <row r="80">
      <c r="A80" s="4">
        <v>8.0</v>
      </c>
      <c r="B80" s="6" t="s">
        <v>13</v>
      </c>
      <c r="C80" s="7" t="str">
        <f t="shared" si="1"/>
        <v>ок</v>
      </c>
    </row>
    <row r="81">
      <c r="A81" s="4">
        <v>8.0</v>
      </c>
      <c r="B81" s="6" t="s">
        <v>20</v>
      </c>
      <c r="C81" s="7" t="str">
        <f t="shared" si="1"/>
        <v>ок</v>
      </c>
    </row>
    <row r="82">
      <c r="A82" s="4">
        <v>8.0</v>
      </c>
      <c r="B82" s="6" t="s">
        <v>79</v>
      </c>
      <c r="C82" s="7" t="str">
        <f t="shared" si="1"/>
        <v>ок</v>
      </c>
    </row>
    <row r="83">
      <c r="A83" s="4">
        <v>6.0</v>
      </c>
      <c r="B83" s="6" t="s">
        <v>79</v>
      </c>
      <c r="C83" s="7" t="str">
        <f t="shared" si="1"/>
        <v>ок</v>
      </c>
    </row>
    <row r="84">
      <c r="A84" s="4">
        <v>6.0</v>
      </c>
      <c r="B84" s="6" t="s">
        <v>20</v>
      </c>
      <c r="C84" s="7" t="str">
        <f t="shared" si="1"/>
        <v>ок</v>
      </c>
    </row>
    <row r="85">
      <c r="A85" s="4">
        <v>6.0</v>
      </c>
      <c r="B85" s="6" t="s">
        <v>20</v>
      </c>
      <c r="C85" s="7" t="str">
        <f t="shared" si="1"/>
        <v>ок</v>
      </c>
    </row>
    <row r="86">
      <c r="A86" s="4">
        <v>5.0</v>
      </c>
      <c r="B86" s="6" t="s">
        <v>20</v>
      </c>
      <c r="C86" s="7" t="str">
        <f t="shared" si="1"/>
        <v>ок</v>
      </c>
    </row>
    <row r="87">
      <c r="A87" s="4">
        <v>4.0</v>
      </c>
      <c r="B87" s="6" t="s">
        <v>146</v>
      </c>
      <c r="C87" s="7" t="str">
        <f t="shared" si="1"/>
        <v>ок</v>
      </c>
    </row>
    <row r="88">
      <c r="A88" s="4">
        <v>4.0</v>
      </c>
      <c r="B88" s="6" t="s">
        <v>20</v>
      </c>
      <c r="C88" s="7" t="str">
        <f t="shared" si="1"/>
        <v>ок</v>
      </c>
    </row>
    <row r="89">
      <c r="A89" s="4">
        <v>4.0</v>
      </c>
      <c r="B89" s="6" t="s">
        <v>13</v>
      </c>
      <c r="C89" s="7" t="str">
        <f t="shared" si="1"/>
        <v>ок</v>
      </c>
    </row>
    <row r="90">
      <c r="A90" s="4">
        <v>4.0</v>
      </c>
      <c r="B90" s="6" t="s">
        <v>13</v>
      </c>
      <c r="C90" s="7" t="str">
        <f t="shared" si="1"/>
        <v>ок</v>
      </c>
    </row>
    <row r="91">
      <c r="A91" s="4">
        <v>4.0</v>
      </c>
      <c r="B91" s="6" t="s">
        <v>188</v>
      </c>
      <c r="C91" s="7" t="str">
        <f t="shared" si="1"/>
        <v>ок</v>
      </c>
    </row>
    <row r="92">
      <c r="A92" s="4">
        <v>8.0</v>
      </c>
      <c r="B92" s="6" t="s">
        <v>74</v>
      </c>
      <c r="C92" s="7" t="str">
        <f t="shared" si="1"/>
        <v>це</v>
      </c>
    </row>
    <row r="93">
      <c r="A93" s="4">
        <v>7.0</v>
      </c>
      <c r="B93" s="6" t="s">
        <v>74</v>
      </c>
      <c r="C93" s="7" t="str">
        <f t="shared" si="1"/>
        <v>це</v>
      </c>
    </row>
    <row r="94">
      <c r="A94" s="4">
        <v>7.0</v>
      </c>
      <c r="B94" s="6" t="s">
        <v>74</v>
      </c>
      <c r="C94" s="7" t="str">
        <f t="shared" si="1"/>
        <v>це</v>
      </c>
    </row>
    <row r="95">
      <c r="A95" s="4">
        <v>4.0</v>
      </c>
      <c r="B95" s="6" t="s">
        <v>74</v>
      </c>
      <c r="C95" s="7" t="str">
        <f t="shared" si="1"/>
        <v>це</v>
      </c>
    </row>
    <row r="96">
      <c r="A96" s="4">
        <v>4.0</v>
      </c>
      <c r="B96" s="6" t="s">
        <v>74</v>
      </c>
      <c r="C96" s="7" t="str">
        <f t="shared" si="1"/>
        <v>це</v>
      </c>
    </row>
    <row r="97">
      <c r="A97" s="1" t="s">
        <v>1</v>
      </c>
      <c r="B97" s="2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4.0"/>
    <col customWidth="1" min="3" max="3" width="16.5"/>
    <col customWidth="1" min="4" max="4" width="13.38"/>
  </cols>
  <sheetData>
    <row r="1">
      <c r="A1" s="8" t="s">
        <v>0</v>
      </c>
      <c r="B1" s="8" t="s">
        <v>1</v>
      </c>
      <c r="C1" s="8" t="s">
        <v>2</v>
      </c>
      <c r="D1" s="2" t="s">
        <v>3</v>
      </c>
      <c r="E1" s="3" t="s">
        <v>7</v>
      </c>
      <c r="F1" s="3" t="s">
        <v>7</v>
      </c>
      <c r="G1" s="3" t="s">
        <v>7</v>
      </c>
      <c r="H1" s="3" t="s">
        <v>7</v>
      </c>
      <c r="I1" s="3" t="s">
        <v>7</v>
      </c>
      <c r="J1" s="3" t="s">
        <v>7</v>
      </c>
      <c r="K1" s="3" t="s">
        <v>7</v>
      </c>
      <c r="L1" s="3" t="s">
        <v>7</v>
      </c>
      <c r="M1" s="3" t="s">
        <v>7</v>
      </c>
      <c r="N1" s="3" t="s">
        <v>7</v>
      </c>
      <c r="O1" s="3" t="s">
        <v>7</v>
      </c>
      <c r="P1" s="3" t="s">
        <v>7</v>
      </c>
      <c r="Q1" s="3" t="s">
        <v>7</v>
      </c>
      <c r="R1" s="3" t="s">
        <v>7</v>
      </c>
      <c r="S1" s="3" t="s">
        <v>7</v>
      </c>
      <c r="T1" s="3" t="s">
        <v>7</v>
      </c>
      <c r="U1" s="3" t="s">
        <v>7</v>
      </c>
      <c r="V1" s="3" t="s">
        <v>7</v>
      </c>
      <c r="W1" s="3" t="s">
        <v>7</v>
      </c>
      <c r="X1" s="3" t="s">
        <v>7</v>
      </c>
    </row>
    <row r="2">
      <c r="A2" s="9">
        <v>935.0</v>
      </c>
      <c r="B2" s="9">
        <v>1313.0</v>
      </c>
      <c r="C2" s="9" t="s">
        <v>211</v>
      </c>
      <c r="D2" s="9" t="s">
        <v>212</v>
      </c>
    </row>
    <row r="3">
      <c r="A3" s="9">
        <v>687.0</v>
      </c>
      <c r="B3" s="9">
        <v>1310.0</v>
      </c>
      <c r="C3" s="9" t="s">
        <v>213</v>
      </c>
      <c r="D3" s="9" t="s">
        <v>214</v>
      </c>
    </row>
    <row r="4">
      <c r="A4" s="9">
        <v>860.0</v>
      </c>
      <c r="B4" s="9">
        <v>1280.0</v>
      </c>
      <c r="C4" s="9" t="s">
        <v>215</v>
      </c>
      <c r="D4" s="9" t="s">
        <v>216</v>
      </c>
    </row>
    <row r="5">
      <c r="A5" s="9">
        <v>812.0</v>
      </c>
      <c r="B5" s="9">
        <v>1069.0</v>
      </c>
      <c r="C5" s="9" t="s">
        <v>217</v>
      </c>
      <c r="D5" s="9" t="s">
        <v>212</v>
      </c>
    </row>
    <row r="6">
      <c r="A6" s="9">
        <v>733.0</v>
      </c>
      <c r="B6" s="9">
        <v>1043.0</v>
      </c>
      <c r="C6" s="9" t="s">
        <v>218</v>
      </c>
      <c r="D6" s="9" t="s">
        <v>219</v>
      </c>
    </row>
    <row r="7">
      <c r="A7" s="9">
        <v>544.0</v>
      </c>
      <c r="B7" s="9">
        <v>1012.0</v>
      </c>
      <c r="C7" s="9" t="s">
        <v>220</v>
      </c>
      <c r="D7" s="9" t="s">
        <v>221</v>
      </c>
    </row>
    <row r="8">
      <c r="A8" s="9">
        <v>727.0</v>
      </c>
      <c r="B8" s="9">
        <v>960.0</v>
      </c>
      <c r="C8" s="9" t="s">
        <v>222</v>
      </c>
      <c r="D8" s="9" t="s">
        <v>216</v>
      </c>
    </row>
    <row r="9">
      <c r="A9" s="9">
        <v>706.0</v>
      </c>
      <c r="B9" s="9">
        <v>903.0</v>
      </c>
      <c r="C9" s="9" t="s">
        <v>223</v>
      </c>
      <c r="D9" s="9" t="s">
        <v>224</v>
      </c>
    </row>
    <row r="10">
      <c r="A10" s="9">
        <v>480.0</v>
      </c>
      <c r="B10" s="9">
        <v>735.0</v>
      </c>
      <c r="C10" s="9" t="s">
        <v>221</v>
      </c>
      <c r="D10" s="9" t="s">
        <v>221</v>
      </c>
    </row>
    <row r="11">
      <c r="A11" s="9">
        <v>603.0</v>
      </c>
      <c r="B11" s="9">
        <v>720.0</v>
      </c>
      <c r="C11" s="9" t="s">
        <v>225</v>
      </c>
      <c r="D11" s="9" t="s">
        <v>226</v>
      </c>
    </row>
    <row r="12">
      <c r="A12" s="9">
        <v>571.0</v>
      </c>
      <c r="B12" s="9">
        <v>680.0</v>
      </c>
      <c r="C12" s="9" t="s">
        <v>227</v>
      </c>
      <c r="D12" s="9" t="s">
        <v>228</v>
      </c>
    </row>
    <row r="13">
      <c r="A13" s="9">
        <v>552.0</v>
      </c>
      <c r="B13" s="9">
        <v>647.0</v>
      </c>
      <c r="C13" s="9" t="s">
        <v>229</v>
      </c>
      <c r="D13" s="9" t="s">
        <v>228</v>
      </c>
    </row>
    <row r="14">
      <c r="A14" s="9">
        <v>465.0</v>
      </c>
      <c r="B14" s="9">
        <v>613.0</v>
      </c>
      <c r="C14" s="9" t="s">
        <v>230</v>
      </c>
      <c r="D14" s="9" t="s">
        <v>219</v>
      </c>
    </row>
    <row r="15">
      <c r="A15" s="9">
        <v>421.0</v>
      </c>
      <c r="B15" s="9">
        <v>610.0</v>
      </c>
      <c r="C15" s="9" t="s">
        <v>231</v>
      </c>
      <c r="D15" s="9" t="s">
        <v>232</v>
      </c>
    </row>
    <row r="16">
      <c r="A16" s="9">
        <v>435.0</v>
      </c>
      <c r="B16" s="9">
        <v>589.0</v>
      </c>
      <c r="C16" s="9" t="s">
        <v>233</v>
      </c>
      <c r="D16" s="9" t="s">
        <v>234</v>
      </c>
    </row>
    <row r="17">
      <c r="A17" s="9">
        <v>451.0</v>
      </c>
      <c r="B17" s="9">
        <v>584.0</v>
      </c>
      <c r="C17" s="9" t="s">
        <v>235</v>
      </c>
      <c r="D17" s="9" t="s">
        <v>236</v>
      </c>
    </row>
    <row r="18">
      <c r="A18" s="9">
        <v>372.0</v>
      </c>
      <c r="B18" s="9">
        <v>542.0</v>
      </c>
      <c r="C18" s="9" t="s">
        <v>237</v>
      </c>
      <c r="D18" s="9" t="s">
        <v>221</v>
      </c>
    </row>
    <row r="19">
      <c r="A19" s="9">
        <v>361.0</v>
      </c>
      <c r="B19" s="9">
        <v>477.0</v>
      </c>
      <c r="C19" s="9" t="s">
        <v>238</v>
      </c>
      <c r="D19" s="9" t="s">
        <v>239</v>
      </c>
    </row>
    <row r="20">
      <c r="A20" s="9">
        <v>386.0</v>
      </c>
      <c r="B20" s="9">
        <v>462.0</v>
      </c>
      <c r="C20" s="9" t="s">
        <v>240</v>
      </c>
      <c r="D20" s="9" t="s">
        <v>241</v>
      </c>
    </row>
    <row r="21">
      <c r="A21" s="9">
        <v>373.0</v>
      </c>
      <c r="B21" s="9">
        <v>451.0</v>
      </c>
      <c r="C21" s="9" t="s">
        <v>224</v>
      </c>
      <c r="D21" s="9" t="s">
        <v>224</v>
      </c>
    </row>
    <row r="22">
      <c r="A22" s="9">
        <v>276.0</v>
      </c>
      <c r="B22" s="9">
        <v>435.0</v>
      </c>
      <c r="C22" s="9" t="s">
        <v>214</v>
      </c>
      <c r="D22" s="9" t="s">
        <v>214</v>
      </c>
    </row>
    <row r="23">
      <c r="A23" s="9">
        <v>319.0</v>
      </c>
      <c r="B23" s="9">
        <v>434.0</v>
      </c>
      <c r="C23" s="9" t="s">
        <v>242</v>
      </c>
      <c r="D23" s="9" t="s">
        <v>243</v>
      </c>
    </row>
    <row r="24">
      <c r="A24" s="9">
        <v>346.0</v>
      </c>
      <c r="B24" s="9">
        <v>411.0</v>
      </c>
      <c r="C24" s="9" t="s">
        <v>241</v>
      </c>
      <c r="D24" s="9" t="s">
        <v>241</v>
      </c>
    </row>
    <row r="25">
      <c r="A25" s="9">
        <v>326.0</v>
      </c>
      <c r="B25" s="9">
        <v>400.0</v>
      </c>
      <c r="C25" s="9" t="s">
        <v>244</v>
      </c>
      <c r="D25" s="9" t="s">
        <v>234</v>
      </c>
    </row>
    <row r="26">
      <c r="A26" s="9">
        <v>343.0</v>
      </c>
      <c r="B26" s="9">
        <v>394.0</v>
      </c>
      <c r="C26" s="9" t="s">
        <v>245</v>
      </c>
      <c r="D26" s="9" t="s">
        <v>226</v>
      </c>
    </row>
    <row r="27">
      <c r="A27" s="9">
        <v>300.0</v>
      </c>
      <c r="B27" s="9">
        <v>394.0</v>
      </c>
      <c r="C27" s="9" t="s">
        <v>246</v>
      </c>
      <c r="D27" s="9" t="s">
        <v>232</v>
      </c>
    </row>
    <row r="28">
      <c r="A28" s="9">
        <v>334.0</v>
      </c>
      <c r="B28" s="9">
        <v>386.0</v>
      </c>
      <c r="C28" s="9" t="s">
        <v>247</v>
      </c>
      <c r="D28" s="9" t="s">
        <v>236</v>
      </c>
    </row>
    <row r="29">
      <c r="A29" s="9">
        <v>304.0</v>
      </c>
      <c r="B29" s="9">
        <v>381.0</v>
      </c>
      <c r="C29" s="9" t="s">
        <v>248</v>
      </c>
      <c r="D29" s="9" t="s">
        <v>249</v>
      </c>
    </row>
    <row r="30">
      <c r="A30" s="9">
        <v>311.0</v>
      </c>
      <c r="B30" s="9">
        <v>361.0</v>
      </c>
      <c r="C30" s="9" t="s">
        <v>250</v>
      </c>
      <c r="D30" s="9" t="s">
        <v>251</v>
      </c>
    </row>
    <row r="31">
      <c r="A31" s="9">
        <v>319.0</v>
      </c>
      <c r="B31" s="9">
        <v>357.0</v>
      </c>
      <c r="C31" s="9" t="s">
        <v>252</v>
      </c>
      <c r="D31" s="9" t="s">
        <v>228</v>
      </c>
    </row>
    <row r="32">
      <c r="A32" s="9">
        <v>297.0</v>
      </c>
      <c r="B32" s="9">
        <v>350.0</v>
      </c>
      <c r="C32" s="9" t="s">
        <v>253</v>
      </c>
      <c r="D32" s="9" t="s">
        <v>254</v>
      </c>
    </row>
    <row r="33">
      <c r="A33" s="9">
        <v>266.0</v>
      </c>
      <c r="B33" s="9">
        <v>335.0</v>
      </c>
      <c r="C33" s="9" t="s">
        <v>255</v>
      </c>
      <c r="D33" s="9" t="s">
        <v>256</v>
      </c>
    </row>
    <row r="34">
      <c r="A34" s="9">
        <v>267.0</v>
      </c>
      <c r="B34" s="9">
        <v>332.0</v>
      </c>
      <c r="C34" s="9" t="s">
        <v>257</v>
      </c>
      <c r="D34" s="9" t="s">
        <v>258</v>
      </c>
    </row>
    <row r="35">
      <c r="A35" s="9">
        <v>265.0</v>
      </c>
      <c r="B35" s="9">
        <v>323.0</v>
      </c>
      <c r="C35" s="9" t="s">
        <v>259</v>
      </c>
      <c r="D35" s="9" t="s">
        <v>243</v>
      </c>
    </row>
    <row r="36">
      <c r="A36" s="9">
        <v>151.0</v>
      </c>
      <c r="B36" s="9">
        <v>322.0</v>
      </c>
      <c r="C36" s="9" t="s">
        <v>260</v>
      </c>
      <c r="D36" s="9" t="s">
        <v>260</v>
      </c>
    </row>
    <row r="37">
      <c r="A37" s="9">
        <v>249.0</v>
      </c>
      <c r="B37" s="9">
        <v>313.0</v>
      </c>
      <c r="C37" s="9" t="s">
        <v>261</v>
      </c>
      <c r="D37" s="9" t="s">
        <v>262</v>
      </c>
    </row>
    <row r="38">
      <c r="A38" s="9">
        <v>257.0</v>
      </c>
      <c r="B38" s="9">
        <v>300.0</v>
      </c>
      <c r="C38" s="9" t="s">
        <v>263</v>
      </c>
      <c r="D38" s="9" t="s">
        <v>239</v>
      </c>
    </row>
    <row r="39">
      <c r="A39" s="9">
        <v>219.0</v>
      </c>
      <c r="B39" s="9">
        <v>298.0</v>
      </c>
      <c r="C39" s="9" t="s">
        <v>264</v>
      </c>
      <c r="D39" s="9" t="s">
        <v>265</v>
      </c>
    </row>
    <row r="40">
      <c r="A40" s="9">
        <v>256.0</v>
      </c>
      <c r="B40" s="9">
        <v>294.0</v>
      </c>
      <c r="C40" s="9" t="s">
        <v>266</v>
      </c>
      <c r="D40" s="9" t="s">
        <v>267</v>
      </c>
    </row>
    <row r="41">
      <c r="A41" s="9">
        <v>231.0</v>
      </c>
      <c r="B41" s="9">
        <v>283.0</v>
      </c>
      <c r="C41" s="9" t="s">
        <v>268</v>
      </c>
      <c r="D41" s="9" t="s">
        <v>269</v>
      </c>
    </row>
    <row r="42">
      <c r="A42" s="9">
        <v>224.0</v>
      </c>
      <c r="B42" s="9">
        <v>275.0</v>
      </c>
      <c r="C42" s="9" t="s">
        <v>270</v>
      </c>
      <c r="D42" s="9" t="s">
        <v>214</v>
      </c>
    </row>
    <row r="43">
      <c r="A43" s="9">
        <v>236.0</v>
      </c>
      <c r="B43" s="9">
        <v>273.0</v>
      </c>
      <c r="C43" s="9" t="s">
        <v>271</v>
      </c>
      <c r="D43" s="9" t="s">
        <v>271</v>
      </c>
    </row>
    <row r="44">
      <c r="A44" s="9">
        <v>231.0</v>
      </c>
      <c r="B44" s="9">
        <v>272.0</v>
      </c>
      <c r="C44" s="9" t="s">
        <v>272</v>
      </c>
      <c r="D44" s="9" t="s">
        <v>273</v>
      </c>
    </row>
    <row r="45">
      <c r="A45" s="9">
        <v>239.0</v>
      </c>
      <c r="B45" s="9">
        <v>272.0</v>
      </c>
      <c r="C45" s="9" t="s">
        <v>274</v>
      </c>
      <c r="D45" s="9" t="s">
        <v>275</v>
      </c>
    </row>
    <row r="46">
      <c r="A46" s="9">
        <v>213.0</v>
      </c>
      <c r="B46" s="9">
        <v>271.0</v>
      </c>
      <c r="C46" s="9" t="s">
        <v>276</v>
      </c>
      <c r="D46" s="9" t="s">
        <v>277</v>
      </c>
    </row>
    <row r="47">
      <c r="A47" s="9">
        <v>226.0</v>
      </c>
      <c r="B47" s="9">
        <v>266.0</v>
      </c>
      <c r="C47" s="9" t="s">
        <v>278</v>
      </c>
      <c r="D47" s="9" t="s">
        <v>226</v>
      </c>
    </row>
    <row r="48">
      <c r="A48" s="9">
        <v>216.0</v>
      </c>
      <c r="B48" s="9">
        <v>263.0</v>
      </c>
      <c r="C48" s="9" t="s">
        <v>279</v>
      </c>
      <c r="D48" s="9" t="s">
        <v>279</v>
      </c>
    </row>
    <row r="49">
      <c r="A49" s="9">
        <v>221.0</v>
      </c>
      <c r="B49" s="9">
        <v>262.0</v>
      </c>
      <c r="C49" s="9" t="s">
        <v>280</v>
      </c>
      <c r="D49" s="9" t="s">
        <v>265</v>
      </c>
    </row>
    <row r="50">
      <c r="A50" s="9">
        <v>204.0</v>
      </c>
      <c r="B50" s="9">
        <v>262.0</v>
      </c>
      <c r="C50" s="9" t="s">
        <v>281</v>
      </c>
      <c r="D50" s="9" t="s">
        <v>282</v>
      </c>
    </row>
    <row r="51">
      <c r="A51" s="9">
        <v>233.0</v>
      </c>
      <c r="B51" s="9">
        <v>261.0</v>
      </c>
      <c r="C51" s="9" t="s">
        <v>283</v>
      </c>
      <c r="D51" s="9" t="s">
        <v>224</v>
      </c>
    </row>
    <row r="52">
      <c r="A52" s="9">
        <v>234.0</v>
      </c>
      <c r="B52" s="9">
        <v>259.0</v>
      </c>
      <c r="C52" s="9" t="s">
        <v>284</v>
      </c>
      <c r="D52" s="9" t="s">
        <v>285</v>
      </c>
    </row>
    <row r="53">
      <c r="A53" s="9">
        <v>215.0</v>
      </c>
      <c r="B53" s="9">
        <v>253.0</v>
      </c>
      <c r="C53" s="9" t="s">
        <v>286</v>
      </c>
      <c r="D53" s="9" t="s">
        <v>219</v>
      </c>
    </row>
    <row r="54">
      <c r="A54" s="9">
        <v>222.0</v>
      </c>
      <c r="B54" s="9">
        <v>253.0</v>
      </c>
      <c r="C54" s="9" t="s">
        <v>287</v>
      </c>
      <c r="D54" s="9" t="s">
        <v>216</v>
      </c>
    </row>
    <row r="55">
      <c r="A55" s="9">
        <v>209.0</v>
      </c>
      <c r="B55" s="9">
        <v>253.0</v>
      </c>
      <c r="C55" s="9" t="s">
        <v>288</v>
      </c>
      <c r="D55" s="9" t="s">
        <v>289</v>
      </c>
    </row>
    <row r="56">
      <c r="A56" s="9">
        <v>207.0</v>
      </c>
      <c r="B56" s="9">
        <v>235.0</v>
      </c>
      <c r="C56" s="9" t="s">
        <v>290</v>
      </c>
      <c r="D56" s="9" t="s">
        <v>275</v>
      </c>
    </row>
    <row r="57">
      <c r="A57" s="9">
        <v>209.0</v>
      </c>
      <c r="B57" s="9">
        <v>234.0</v>
      </c>
      <c r="C57" s="9" t="s">
        <v>291</v>
      </c>
      <c r="D57" s="9" t="s">
        <v>256</v>
      </c>
    </row>
    <row r="58">
      <c r="A58" s="9">
        <v>166.0</v>
      </c>
      <c r="B58" s="9">
        <v>231.0</v>
      </c>
      <c r="C58" s="9" t="s">
        <v>292</v>
      </c>
      <c r="D58" s="9" t="s">
        <v>293</v>
      </c>
    </row>
    <row r="59">
      <c r="A59" s="9">
        <v>205.0</v>
      </c>
      <c r="B59" s="9">
        <v>230.0</v>
      </c>
      <c r="C59" s="9" t="s">
        <v>294</v>
      </c>
      <c r="D59" s="9" t="s">
        <v>295</v>
      </c>
    </row>
    <row r="60">
      <c r="A60" s="9">
        <v>39.0</v>
      </c>
      <c r="B60" s="9">
        <v>221.0</v>
      </c>
      <c r="C60" s="9" t="s">
        <v>296</v>
      </c>
      <c r="D60" s="9" t="s">
        <v>297</v>
      </c>
    </row>
    <row r="61">
      <c r="A61" s="9">
        <v>188.0</v>
      </c>
      <c r="B61" s="9">
        <v>220.0</v>
      </c>
      <c r="C61" s="9" t="s">
        <v>298</v>
      </c>
      <c r="D61" s="9" t="s">
        <v>254</v>
      </c>
    </row>
    <row r="62">
      <c r="A62" s="9">
        <v>179.0</v>
      </c>
      <c r="B62" s="9">
        <v>218.0</v>
      </c>
      <c r="C62" s="9" t="s">
        <v>299</v>
      </c>
      <c r="D62" s="9" t="s">
        <v>300</v>
      </c>
    </row>
    <row r="63">
      <c r="A63" s="9">
        <v>173.0</v>
      </c>
      <c r="B63" s="9">
        <v>209.0</v>
      </c>
      <c r="C63" s="9" t="s">
        <v>301</v>
      </c>
      <c r="D63" s="9" t="s">
        <v>271</v>
      </c>
    </row>
    <row r="64">
      <c r="A64" s="9">
        <v>187.0</v>
      </c>
      <c r="B64" s="9">
        <v>209.0</v>
      </c>
      <c r="C64" s="9" t="s">
        <v>302</v>
      </c>
      <c r="D64" s="9" t="s">
        <v>302</v>
      </c>
    </row>
    <row r="65">
      <c r="A65" s="9">
        <v>178.0</v>
      </c>
      <c r="B65" s="9">
        <v>198.0</v>
      </c>
      <c r="C65" s="9" t="s">
        <v>303</v>
      </c>
      <c r="D65" s="9" t="s">
        <v>304</v>
      </c>
    </row>
    <row r="66">
      <c r="A66" s="9">
        <v>176.0</v>
      </c>
      <c r="B66" s="9">
        <v>198.0</v>
      </c>
      <c r="C66" s="9" t="s">
        <v>305</v>
      </c>
      <c r="D66" s="9" t="s">
        <v>302</v>
      </c>
    </row>
    <row r="67">
      <c r="A67" s="9">
        <v>167.0</v>
      </c>
      <c r="B67" s="9">
        <v>193.0</v>
      </c>
      <c r="C67" s="9" t="s">
        <v>306</v>
      </c>
      <c r="D67" s="9" t="s">
        <v>212</v>
      </c>
    </row>
    <row r="68">
      <c r="A68" s="9">
        <v>180.0</v>
      </c>
      <c r="B68" s="9">
        <v>193.0</v>
      </c>
      <c r="C68" s="9" t="s">
        <v>307</v>
      </c>
      <c r="D68" s="9" t="s">
        <v>273</v>
      </c>
    </row>
    <row r="69">
      <c r="A69" s="9">
        <v>167.0</v>
      </c>
      <c r="B69" s="9">
        <v>190.0</v>
      </c>
      <c r="C69" s="9" t="s">
        <v>308</v>
      </c>
      <c r="D69" s="9" t="s">
        <v>309</v>
      </c>
    </row>
    <row r="70">
      <c r="A70" s="9">
        <v>158.0</v>
      </c>
      <c r="B70" s="9">
        <v>187.0</v>
      </c>
      <c r="C70" s="9" t="s">
        <v>310</v>
      </c>
      <c r="D70" s="9" t="s">
        <v>311</v>
      </c>
    </row>
    <row r="71">
      <c r="A71" s="9">
        <v>156.0</v>
      </c>
      <c r="B71" s="9">
        <v>186.0</v>
      </c>
      <c r="C71" s="9" t="s">
        <v>312</v>
      </c>
      <c r="D71" s="9" t="s">
        <v>300</v>
      </c>
    </row>
    <row r="72">
      <c r="A72" s="9">
        <v>162.0</v>
      </c>
      <c r="B72" s="9">
        <v>184.0</v>
      </c>
      <c r="C72" s="9" t="s">
        <v>313</v>
      </c>
      <c r="D72" s="9" t="s">
        <v>216</v>
      </c>
    </row>
    <row r="73">
      <c r="A73" s="9">
        <v>163.0</v>
      </c>
      <c r="B73" s="9">
        <v>183.0</v>
      </c>
      <c r="C73" s="9" t="s">
        <v>314</v>
      </c>
      <c r="D73" s="9" t="s">
        <v>262</v>
      </c>
    </row>
    <row r="74">
      <c r="A74" s="9">
        <v>74.0</v>
      </c>
      <c r="B74" s="9">
        <v>182.0</v>
      </c>
      <c r="C74" s="9" t="s">
        <v>297</v>
      </c>
      <c r="D74" s="9" t="s">
        <v>297</v>
      </c>
    </row>
    <row r="75">
      <c r="A75" s="9">
        <v>158.0</v>
      </c>
      <c r="B75" s="9">
        <v>181.0</v>
      </c>
      <c r="C75" s="9" t="s">
        <v>315</v>
      </c>
      <c r="D75" s="9" t="s">
        <v>254</v>
      </c>
    </row>
    <row r="76">
      <c r="A76" s="9">
        <v>159.0</v>
      </c>
      <c r="B76" s="9">
        <v>177.0</v>
      </c>
      <c r="C76" s="9" t="s">
        <v>316</v>
      </c>
      <c r="D76" s="9" t="s">
        <v>251</v>
      </c>
    </row>
    <row r="77">
      <c r="A77" s="9">
        <v>123.0</v>
      </c>
      <c r="B77" s="9">
        <v>177.0</v>
      </c>
      <c r="C77" s="9" t="s">
        <v>317</v>
      </c>
      <c r="D77" s="9" t="s">
        <v>221</v>
      </c>
    </row>
    <row r="78">
      <c r="A78" s="9">
        <v>149.0</v>
      </c>
      <c r="B78" s="9">
        <v>176.0</v>
      </c>
      <c r="C78" s="9" t="s">
        <v>318</v>
      </c>
      <c r="D78" s="9" t="s">
        <v>319</v>
      </c>
    </row>
    <row r="79">
      <c r="A79" s="9">
        <v>152.0</v>
      </c>
      <c r="B79" s="9">
        <v>174.0</v>
      </c>
      <c r="C79" s="9" t="s">
        <v>320</v>
      </c>
      <c r="D79" s="9" t="s">
        <v>319</v>
      </c>
    </row>
    <row r="80">
      <c r="A80" s="9">
        <v>141.0</v>
      </c>
      <c r="B80" s="9">
        <v>173.0</v>
      </c>
      <c r="C80" s="9" t="s">
        <v>321</v>
      </c>
      <c r="D80" s="9" t="s">
        <v>322</v>
      </c>
    </row>
    <row r="81">
      <c r="A81" s="9">
        <v>150.0</v>
      </c>
      <c r="B81" s="9">
        <v>173.0</v>
      </c>
      <c r="C81" s="9" t="s">
        <v>323</v>
      </c>
      <c r="D81" s="9" t="s">
        <v>249</v>
      </c>
    </row>
    <row r="82">
      <c r="A82" s="9">
        <v>150.0</v>
      </c>
      <c r="B82" s="9">
        <v>166.0</v>
      </c>
      <c r="C82" s="9" t="s">
        <v>324</v>
      </c>
      <c r="D82" s="9" t="s">
        <v>295</v>
      </c>
    </row>
    <row r="83">
      <c r="A83" s="9">
        <v>70.0</v>
      </c>
      <c r="B83" s="9">
        <v>166.0</v>
      </c>
      <c r="C83" s="9" t="s">
        <v>325</v>
      </c>
      <c r="D83" s="9" t="s">
        <v>326</v>
      </c>
    </row>
    <row r="84">
      <c r="A84" s="9">
        <v>150.0</v>
      </c>
      <c r="B84" s="9">
        <v>166.0</v>
      </c>
      <c r="C84" s="9" t="s">
        <v>327</v>
      </c>
      <c r="D84" s="9" t="s">
        <v>328</v>
      </c>
    </row>
    <row r="85">
      <c r="A85" s="9">
        <v>38.0</v>
      </c>
      <c r="B85" s="9">
        <v>160.0</v>
      </c>
      <c r="C85" s="9" t="s">
        <v>329</v>
      </c>
      <c r="D85" s="9" t="s">
        <v>214</v>
      </c>
    </row>
    <row r="86">
      <c r="A86" s="9">
        <v>124.0</v>
      </c>
      <c r="B86" s="9">
        <v>158.0</v>
      </c>
      <c r="C86" s="9" t="s">
        <v>309</v>
      </c>
      <c r="D86" s="9" t="s">
        <v>309</v>
      </c>
    </row>
    <row r="87">
      <c r="A87" s="9">
        <v>109.0</v>
      </c>
      <c r="B87" s="9">
        <v>158.0</v>
      </c>
      <c r="C87" s="9" t="s">
        <v>330</v>
      </c>
      <c r="D87" s="9" t="s">
        <v>331</v>
      </c>
    </row>
    <row r="88">
      <c r="A88" s="9">
        <v>142.0</v>
      </c>
      <c r="B88" s="9">
        <v>157.0</v>
      </c>
      <c r="C88" s="9" t="s">
        <v>332</v>
      </c>
      <c r="D88" s="9" t="s">
        <v>219</v>
      </c>
    </row>
    <row r="89">
      <c r="A89" s="9">
        <v>135.0</v>
      </c>
      <c r="B89" s="9">
        <v>156.0</v>
      </c>
      <c r="C89" s="9" t="s">
        <v>333</v>
      </c>
      <c r="D89" s="9" t="s">
        <v>334</v>
      </c>
    </row>
    <row r="90">
      <c r="A90" s="9">
        <v>136.0</v>
      </c>
      <c r="B90" s="9">
        <v>154.0</v>
      </c>
      <c r="C90" s="9" t="s">
        <v>335</v>
      </c>
      <c r="D90" s="9" t="s">
        <v>241</v>
      </c>
    </row>
    <row r="91">
      <c r="A91" s="9">
        <v>142.0</v>
      </c>
      <c r="B91" s="9">
        <v>153.0</v>
      </c>
      <c r="C91" s="9" t="s">
        <v>336</v>
      </c>
      <c r="D91" s="9" t="s">
        <v>328</v>
      </c>
    </row>
    <row r="92">
      <c r="A92" s="9">
        <v>101.0</v>
      </c>
      <c r="B92" s="9">
        <v>151.0</v>
      </c>
      <c r="C92" s="9" t="s">
        <v>337</v>
      </c>
      <c r="D92" s="9" t="s">
        <v>260</v>
      </c>
    </row>
    <row r="93">
      <c r="A93" s="9">
        <v>123.0</v>
      </c>
      <c r="B93" s="9">
        <v>148.0</v>
      </c>
      <c r="C93" s="9" t="s">
        <v>338</v>
      </c>
      <c r="D93" s="9" t="s">
        <v>339</v>
      </c>
    </row>
    <row r="94">
      <c r="A94" s="9">
        <v>139.0</v>
      </c>
      <c r="B94" s="9">
        <v>148.0</v>
      </c>
      <c r="C94" s="9" t="s">
        <v>340</v>
      </c>
      <c r="D94" s="9" t="s">
        <v>236</v>
      </c>
    </row>
    <row r="95">
      <c r="A95" s="9">
        <v>127.0</v>
      </c>
      <c r="B95" s="9">
        <v>148.0</v>
      </c>
      <c r="C95" s="9" t="s">
        <v>341</v>
      </c>
      <c r="D95" s="9" t="s">
        <v>232</v>
      </c>
    </row>
    <row r="96">
      <c r="A96" s="9">
        <v>127.0</v>
      </c>
      <c r="B96" s="9">
        <v>145.0</v>
      </c>
      <c r="C96" s="9" t="s">
        <v>342</v>
      </c>
      <c r="D96" s="9" t="s">
        <v>343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drawing r:id="rId2"/>
</worksheet>
</file>